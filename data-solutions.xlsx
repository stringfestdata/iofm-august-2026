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eorg\Documents\GitHub\iofm-august-2026\"/>
    </mc:Choice>
  </mc:AlternateContent>
  <xr:revisionPtr revIDLastSave="0" documentId="13_ncr:1_{D327E8F8-DDFD-421F-9AB0-A7D532F0CD09}" xr6:coauthVersionLast="47" xr6:coauthVersionMax="47" xr10:uidLastSave="{00000000-0000-0000-0000-000000000000}"/>
  <bookViews>
    <workbookView xWindow="-93" yWindow="-93" windowWidth="16826" windowHeight="11280" tabRatio="500" xr2:uid="{00000000-000D-0000-FFFF-FFFF00000000}"/>
  </bookViews>
  <sheets>
    <sheet name="README" sheetId="1" r:id="rId1"/>
    <sheet name="InvoiceRegister" sheetId="2" r:id="rId2"/>
    <sheet name="ExpenseMemos" sheetId="3" r:id="rId3"/>
    <sheet name="COPILOT_Formulas" sheetId="7" r:id="rId4"/>
    <sheet name="APMonthly" sheetId="4" r:id="rId5"/>
    <sheet name="InvoiceRegister_Clean" sheetId="5"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6" i="4" l="1"/>
  <c r="E25" i="4"/>
  <c r="E24" i="4"/>
  <c r="E23" i="4"/>
  <c r="E22" i="4"/>
  <c r="E21" i="4"/>
  <c r="E20" i="4"/>
  <c r="E19" i="4"/>
  <c r="E18" i="4"/>
  <c r="E17" i="4"/>
  <c r="E16" i="4"/>
  <c r="E15" i="4"/>
  <c r="E14" i="4"/>
  <c r="E13" i="4"/>
  <c r="E12" i="4"/>
  <c r="E11" i="4"/>
  <c r="E10" i="4"/>
  <c r="E9" i="4"/>
  <c r="E8" i="4"/>
  <c r="E7" i="4"/>
  <c r="E6" i="4"/>
  <c r="E5" i="4"/>
  <c r="E4" i="4"/>
  <c r="E3" i="4"/>
  <c r="E2" i="4"/>
  <c r="A20" i="3" a="1"/>
  <c r="H3" i="3" a="1"/>
  <c r="H9" i="3" a="1"/>
  <c r="H15" i="3" a="1"/>
  <c r="H4" i="3" a="1"/>
  <c r="H16" i="3" a="1"/>
  <c r="H5" i="3" a="1"/>
  <c r="H6" i="3" a="1"/>
  <c r="H7" i="3" a="1"/>
  <c r="H13" i="3" a="1"/>
  <c r="H8" i="3" a="1"/>
  <c r="H10" i="3" a="1"/>
  <c r="H11" i="3" a="1"/>
  <c r="H12" i="3" a="1"/>
  <c r="H14" i="3" a="1"/>
  <c r="H2" i="3" a="1"/>
  <c r="G3" i="3" a="1"/>
  <c r="G9" i="3" a="1"/>
  <c r="G15" i="3" a="1"/>
  <c r="G16" i="3" a="1"/>
  <c r="G5" i="3" a="1"/>
  <c r="G6" i="3" a="1"/>
  <c r="G13" i="3" a="1"/>
  <c r="G14" i="3" a="1"/>
  <c r="G4" i="3" a="1"/>
  <c r="G10" i="3" a="1"/>
  <c r="G11" i="3" a="1"/>
  <c r="G12" i="3" a="1"/>
  <c r="G7" i="3" a="1"/>
  <c r="G8" i="3" a="1"/>
  <c r="G2" i="3" a="1"/>
  <c r="F3" i="3" a="1"/>
  <c r="F9" i="3" a="1"/>
  <c r="F15" i="3" a="1"/>
  <c r="F4" i="3" a="1"/>
  <c r="F10" i="3" a="1"/>
  <c r="F16" i="3" a="1"/>
  <c r="F5" i="3" a="1"/>
  <c r="F11" i="3" a="1"/>
  <c r="F6" i="3" a="1"/>
  <c r="F12" i="3" a="1"/>
  <c r="F7" i="3" a="1"/>
  <c r="F13" i="3" a="1"/>
  <c r="F8" i="3" a="1"/>
  <c r="F14" i="3" a="1"/>
  <c r="F2" i="3" a="1"/>
  <c r="E3" i="3" a="1"/>
  <c r="E9" i="3" a="1"/>
  <c r="E15" i="3" a="1"/>
  <c r="E4" i="3" a="1"/>
  <c r="E10" i="3" a="1"/>
  <c r="E16" i="3" a="1"/>
  <c r="E5" i="3" a="1"/>
  <c r="E11" i="3" a="1"/>
  <c r="E6" i="3" a="1"/>
  <c r="E12" i="3" a="1"/>
  <c r="E7" i="3" a="1"/>
  <c r="E8" i="3" a="1"/>
  <c r="E14" i="3" a="1"/>
  <c r="E13" i="3" a="1"/>
  <c r="E2" i="3" a="1"/>
  <c r="D4" i="3" a="1"/>
  <c r="D10" i="3" a="1"/>
  <c r="D16" i="3" a="1"/>
  <c r="D5" i="3" a="1"/>
  <c r="D11" i="3" a="1"/>
  <c r="D8" i="3" a="1"/>
  <c r="D9" i="3" a="1"/>
  <c r="D6" i="3" a="1"/>
  <c r="D12" i="3" a="1"/>
  <c r="D7" i="3" a="1"/>
  <c r="D13" i="3" a="1"/>
  <c r="D14" i="3" a="1"/>
  <c r="D3" i="3" a="1"/>
  <c r="D15" i="3" a="1"/>
  <c r="D2" i="3" a="1"/>
  <c r="A20" i="3" l="1"/>
  <c r="H14" i="3"/>
  <c r="H12" i="3"/>
  <c r="H11" i="3"/>
  <c r="H10" i="3"/>
  <c r="H8" i="3"/>
  <c r="H13" i="3"/>
  <c r="H7" i="3"/>
  <c r="H6" i="3"/>
  <c r="H5" i="3"/>
  <c r="H16" i="3"/>
  <c r="H4" i="3"/>
  <c r="H15" i="3"/>
  <c r="H9" i="3"/>
  <c r="H3" i="3"/>
  <c r="H2" i="3"/>
  <c r="G8" i="3"/>
  <c r="G7" i="3"/>
  <c r="G12" i="3"/>
  <c r="G11" i="3"/>
  <c r="G10" i="3"/>
  <c r="G4" i="3"/>
  <c r="G14" i="3"/>
  <c r="G13" i="3"/>
  <c r="G6" i="3"/>
  <c r="G5" i="3"/>
  <c r="G16" i="3"/>
  <c r="G15" i="3"/>
  <c r="G9" i="3"/>
  <c r="G3" i="3"/>
  <c r="G2" i="3"/>
  <c r="F14" i="3"/>
  <c r="F8" i="3"/>
  <c r="F13" i="3"/>
  <c r="F7" i="3"/>
  <c r="F12" i="3"/>
  <c r="F6" i="3"/>
  <c r="F11" i="3"/>
  <c r="F5" i="3"/>
  <c r="F16" i="3"/>
  <c r="F10" i="3"/>
  <c r="F4" i="3"/>
  <c r="F15" i="3"/>
  <c r="F9" i="3"/>
  <c r="F3" i="3"/>
  <c r="F2" i="3"/>
  <c r="E13" i="3"/>
  <c r="E14" i="3"/>
  <c r="E8" i="3"/>
  <c r="E7" i="3"/>
  <c r="E12" i="3"/>
  <c r="E6" i="3"/>
  <c r="E11" i="3"/>
  <c r="E5" i="3"/>
  <c r="E16" i="3"/>
  <c r="E10" i="3"/>
  <c r="E4" i="3"/>
  <c r="E15" i="3"/>
  <c r="E9" i="3"/>
  <c r="E3" i="3"/>
  <c r="E2" i="3"/>
  <c r="D15" i="3"/>
  <c r="D3" i="3"/>
  <c r="D14" i="3"/>
  <c r="D13" i="3"/>
  <c r="D7" i="3"/>
  <c r="D12" i="3"/>
  <c r="D6" i="3"/>
  <c r="D9" i="3"/>
  <c r="D8" i="3"/>
  <c r="D11" i="3"/>
  <c r="D5" i="3"/>
  <c r="D16" i="3"/>
  <c r="D10" i="3"/>
  <c r="D4" i="3"/>
  <c r="D2"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<sst xmlns="http://schemas.openxmlformats.org/spreadsheetml/2006/main" count="449" uniqueCount="208">
  <si>
    <t>AI in Excel for Finance &amp; Accounting Teams</t>
  </si>
  <si>
    <t>Solution / answer-key workbook</t>
  </si>
  <si>
    <t>Sheet</t>
  </si>
  <si>
    <t>Used in</t>
  </si>
  <si>
    <t>What it is</t>
  </si>
  <si>
    <t>InvoiceRegister</t>
  </si>
  <si>
    <t>Part 2 - Copilot in Excel, live</t>
  </si>
  <si>
    <t>Messy AP invoice export: inconsistent vendor names, mixed date formats, duplicates, a missing amount, a credit memo. Practice cleaning, formula-building, and summarizing.</t>
  </si>
  <si>
    <t>ExpenseMemos</t>
  </si>
  <si>
    <t>Part 3 - The new AI functions</t>
  </si>
  <si>
    <t>Free-text expense/purchase memos. Use the COPILOT() function to pull structure (category, vendor, amount, policy flag) out of the prose.</t>
  </si>
  <si>
    <t>APMonthly</t>
  </si>
  <si>
    <t>Parts 2 &amp; 4 - summarize / guardrails</t>
  </si>
  <si>
    <t>Monthly actual vs. budget by cost center. Practice summarizing and variance review - and checking the AI's math against the grid.</t>
  </si>
  <si>
    <t>InvoiceRegister_Clean</t>
  </si>
  <si>
    <t>Part 2 - answer key</t>
  </si>
  <si>
    <t>Standardized version of InvoiceRegister after cleaning.</t>
  </si>
  <si>
    <t>ExpenseMemos_Extracted</t>
  </si>
  <si>
    <t>Part 3 - answer key</t>
  </si>
  <si>
    <t>The memos with structured columns filled in, the way COPILOT() should return them.</t>
  </si>
  <si>
    <t>COPILOT_Formulas</t>
  </si>
  <si>
    <t>Reference</t>
  </si>
  <si>
    <t>Copy-paste COPILOT() formulas for each demo, with notes on what to review.</t>
  </si>
  <si>
    <t>Vendor Name</t>
  </si>
  <si>
    <t>Invoice Number</t>
  </si>
  <si>
    <t>Invoice Date</t>
  </si>
  <si>
    <t>Due Date</t>
  </si>
  <si>
    <t>Invoice Amount</t>
  </si>
  <si>
    <t>Currency</t>
  </si>
  <si>
    <t>Cost Center</t>
  </si>
  <si>
    <t>Payment Status</t>
  </si>
  <si>
    <t>Source System</t>
  </si>
  <si>
    <t>Line Description</t>
  </si>
  <si>
    <t>Acme Systems</t>
  </si>
  <si>
    <t>INV-1001</t>
  </si>
  <si>
    <t>2024-01-05</t>
  </si>
  <si>
    <t>2024-02-04</t>
  </si>
  <si>
    <t>USD</t>
  </si>
  <si>
    <t>FIN-100</t>
  </si>
  <si>
    <t>Paid</t>
  </si>
  <si>
    <t>ERP_A</t>
  </si>
  <si>
    <t>Monthly SaaS platform subscription - Jan</t>
  </si>
  <si>
    <t>ACME systems</t>
  </si>
  <si>
    <t>INV-1002</t>
  </si>
  <si>
    <t>1/7/2024</t>
  </si>
  <si>
    <t>2024-02-06</t>
  </si>
  <si>
    <t>usd</t>
  </si>
  <si>
    <t>platform subscription (jan, prorated)</t>
  </si>
  <si>
    <t>Acme  Systems</t>
  </si>
  <si>
    <t>INV-1003</t>
  </si>
  <si>
    <t>2024-01-10</t>
  </si>
  <si>
    <t>2024-02-09</t>
  </si>
  <si>
    <t>OPEN</t>
  </si>
  <si>
    <t>ERP_B</t>
  </si>
  <si>
    <t>Add'l user seats x5</t>
  </si>
  <si>
    <t>Northwind Tech</t>
  </si>
  <si>
    <t>INV-2201</t>
  </si>
  <si>
    <t>2024-01-12</t>
  </si>
  <si>
    <t>02/11/2024</t>
  </si>
  <si>
    <t>IT-300</t>
  </si>
  <si>
    <t xml:space="preserve">paid </t>
  </si>
  <si>
    <t>Network switch replacement + install</t>
  </si>
  <si>
    <t>Northwind Technologies</t>
  </si>
  <si>
    <t>INV-2202</t>
  </si>
  <si>
    <t>2024-01-15</t>
  </si>
  <si>
    <t>2024-02-14</t>
  </si>
  <si>
    <t>PaperTrail Office</t>
  </si>
  <si>
    <t>INV-5540</t>
  </si>
  <si>
    <t>2024-01-18</t>
  </si>
  <si>
    <t>2024-02-17</t>
  </si>
  <si>
    <t>Open</t>
  </si>
  <si>
    <t>Check printer toner, remittance stock</t>
  </si>
  <si>
    <t xml:space="preserve">papertrail office </t>
  </si>
  <si>
    <t>INV-5541</t>
  </si>
  <si>
    <t>2024-01-22</t>
  </si>
  <si>
    <t>2024-02-21</t>
  </si>
  <si>
    <t>Office supplies - see attached</t>
  </si>
  <si>
    <t>Globex Corp</t>
  </si>
  <si>
    <t>INV-7781</t>
  </si>
  <si>
    <t>2024-02-01</t>
  </si>
  <si>
    <t>2024-03-02</t>
  </si>
  <si>
    <t>OPS-400</t>
  </si>
  <si>
    <t>Consulting - process review (40 hrs)</t>
  </si>
  <si>
    <t>Globex Corporation</t>
  </si>
  <si>
    <t>INV-7782</t>
  </si>
  <si>
    <t>2024-02-03</t>
  </si>
  <si>
    <t>2024-03-04</t>
  </si>
  <si>
    <t>Credit memo - overbilled hours</t>
  </si>
  <si>
    <t>Initech</t>
  </si>
  <si>
    <t>INV-3310</t>
  </si>
  <si>
    <t>2024-02-05</t>
  </si>
  <si>
    <t>2024-03-06</t>
  </si>
  <si>
    <t>EUR</t>
  </si>
  <si>
    <t>Software license renewal (EU entity)</t>
  </si>
  <si>
    <t>Umbrella Supply</t>
  </si>
  <si>
    <t>INV-9001</t>
  </si>
  <si>
    <t>3/10/2024</t>
  </si>
  <si>
    <t>HR-200</t>
  </si>
  <si>
    <t>Onboarding kits for new hires</t>
  </si>
  <si>
    <t>Umbrella Supply Co.</t>
  </si>
  <si>
    <t>INV-9002</t>
  </si>
  <si>
    <t>2024-02-12</t>
  </si>
  <si>
    <t>2024-03-13</t>
  </si>
  <si>
    <t>hr-200</t>
  </si>
  <si>
    <t>onboarding kits (2nd batch)</t>
  </si>
  <si>
    <t>Stark Industrial</t>
  </si>
  <si>
    <t>INV-4402</t>
  </si>
  <si>
    <t>2024-02-15</t>
  </si>
  <si>
    <t>2024-03-16</t>
  </si>
  <si>
    <t>Equipment lease - Q1</t>
  </si>
  <si>
    <t>Wayne Logistics</t>
  </si>
  <si>
    <t>INV-6650</t>
  </si>
  <si>
    <t>2024-02-18</t>
  </si>
  <si>
    <t>2024-03-19</t>
  </si>
  <si>
    <t>Freight &amp; handling, inbound</t>
  </si>
  <si>
    <t>Wonka Foods</t>
  </si>
  <si>
    <t>INV-8123</t>
  </si>
  <si>
    <t>2024-02-20</t>
  </si>
  <si>
    <t>2024-03-21</t>
  </si>
  <si>
    <t>Catering - all-hands meeting</t>
  </si>
  <si>
    <t>INV-1004</t>
  </si>
  <si>
    <t>2024-02-22</t>
  </si>
  <si>
    <t>2024-03-23</t>
  </si>
  <si>
    <t>open</t>
  </si>
  <si>
    <t>Monthly SaaS platform subscription - Feb</t>
  </si>
  <si>
    <t>Cyberdyne LLC</t>
  </si>
  <si>
    <t>INV-7788</t>
  </si>
  <si>
    <t>2024-02-25</t>
  </si>
  <si>
    <t>2024-03-26</t>
  </si>
  <si>
    <t>Annual security audit retainer</t>
  </si>
  <si>
    <t>Memo ID</t>
  </si>
  <si>
    <t>Submitter</t>
  </si>
  <si>
    <t>Raw Memo</t>
  </si>
  <si>
    <t>Category</t>
  </si>
  <si>
    <t>Vendor</t>
  </si>
  <si>
    <t>Amount (USD)</t>
  </si>
  <si>
    <t>Policy Flag</t>
  </si>
  <si>
    <t>Urgency</t>
  </si>
  <si>
    <t>EM-01</t>
  </si>
  <si>
    <t>J. Ruiz</t>
  </si>
  <si>
    <t>Lunch w/ Contoso AP team while onsite in Chicago - 4 of us, ~$182 on the corporate card. Was closing out the Q1 recon.</t>
  </si>
  <si>
    <t>EM-02</t>
  </si>
  <si>
    <t>T. Okafor</t>
  </si>
  <si>
    <t>Ubers to and from the vendor site on 3/14, about $47 total. Meter was running in traffic, sorry.</t>
  </si>
  <si>
    <t>EM-03</t>
  </si>
  <si>
    <t>A. Patel</t>
  </si>
  <si>
    <t>Annual renewal for DocuSign, invoice attached, $9,600 for the year. Finance already approved the budget line.</t>
  </si>
  <si>
    <t>EM-04</t>
  </si>
  <si>
    <t>M. Chen</t>
  </si>
  <si>
    <t>Bought 2 monitors for the new AP clerk from Best Buy, 329.98 each. Needed them before she starts Monday.</t>
  </si>
  <si>
    <t>EM-05</t>
  </si>
  <si>
    <t>Dinner with the external auditors - 6 people, came to 540 and change. Steakhouse near the office, they insisted.</t>
  </si>
  <si>
    <t>EM-06</t>
  </si>
  <si>
    <t>S. Delgado</t>
  </si>
  <si>
    <t>Flights to the SAP user conference in Orlando, $612 round trip on Delta. Hotel booked separately.</t>
  </si>
  <si>
    <t>EM-07</t>
  </si>
  <si>
    <t>Coffee and pastries for the month-end close war room, $88 from the place downstairs. Team was here till 9.</t>
  </si>
  <si>
    <t>EM-08</t>
  </si>
  <si>
    <t>Replaced the check printer toner, Staples, $214.50. Old cartridge was streaking on the remittance stubs.</t>
  </si>
  <si>
    <t>EM-09</t>
  </si>
  <si>
    <t>Petty cash reimbursement - parking at the county recorder's office, $35, filing the lien release.</t>
  </si>
  <si>
    <t>EM-10</t>
  </si>
  <si>
    <t>Zoom Business annual, 1,999.90. We went over seat count again, might need to true-up.</t>
  </si>
  <si>
    <t>EM-11</t>
  </si>
  <si>
    <t>Client gift baskets for our top 5 vendors at year-end, $500 total from Harry &amp; David. Per the relationship team.</t>
  </si>
  <si>
    <t>EM-12</t>
  </si>
  <si>
    <t>Some AI note-taker thing the team wanted to trial, $29/mo, put it on my card for now.</t>
  </si>
  <si>
    <t>EM-13</t>
  </si>
  <si>
    <t>Mileage - drove to the bank to deposit the wire confirmation docs, 22 miles round trip.</t>
  </si>
  <si>
    <t>EM-14</t>
  </si>
  <si>
    <t>Overnight FedEx of the signed W-9s to a new vendor, $58. They needed originals before we could pay them.</t>
  </si>
  <si>
    <t>EM-15</t>
  </si>
  <si>
    <t>Team offsite lunch, roughly $300 for 10, but I didn't get an itemized receipt - just the card slip.</t>
  </si>
  <si>
    <t>Fill columns D-H with the COPILOT() function - see the Prompt Cheat-Sheet.</t>
  </si>
  <si>
    <t>Month</t>
  </si>
  <si>
    <t>Actual Spend</t>
  </si>
  <si>
    <t>Budget</t>
  </si>
  <si>
    <t>Variance</t>
  </si>
  <si>
    <t>Invoice Count</t>
  </si>
  <si>
    <t>2024-01</t>
  </si>
  <si>
    <t>MKT-500</t>
  </si>
  <si>
    <t>2024-02</t>
  </si>
  <si>
    <t>2024-03</t>
  </si>
  <si>
    <t>2024-04</t>
  </si>
  <si>
    <t>2024-05</t>
  </si>
  <si>
    <t>Platform subscription (Jan, prorated)</t>
  </si>
  <si>
    <t>Additional user seats x5</t>
  </si>
  <si>
    <t>Office supplies - see attached (amount missing)</t>
  </si>
  <si>
    <t>Onboarding kits (2nd batch)</t>
  </si>
  <si>
    <t>Cleaning applied: standardized vendor names &amp; casing, real dates, removed exact duplicate (INV-3310), flagged missing amount (INV-5541) and credit memo (INV-7782). Human review still required before payment.</t>
  </si>
  <si>
    <t>Reference: COPILOT() formulas used in Part 3</t>
  </si>
  <si>
    <t>Goal</t>
  </si>
  <si>
    <t>Formula (paste into ExpenseMemos)</t>
  </si>
  <si>
    <t>Review before trusting</t>
  </si>
  <si>
    <t>=COPILOT("Classify this expense memo into one of: Meals &amp; Entertainment, Travel - Airfare, Travel - Ground, Software - Subscription, Equipment, Office Supplies, Mileage, Postage &amp; Shipping, Gifts, Petty Cash / Fees. Return only the category.", C2)</t>
  </si>
  <si>
    <t>Spot-check edge cases; the list constrains the answer.</t>
  </si>
  <si>
    <t>=COPILOT("Extract the vendor or merchant named in this memo. If none is named, return 'Not stated'.", C2)</t>
  </si>
  <si>
    <t>Watch for guessed vendors when none is named.</t>
  </si>
  <si>
    <t>=COPILOT("Extract the total US dollar amount as a number only, no symbols. If a per-unit price and quantity are given, multiply them. If no amount, return blank.", C2)</t>
  </si>
  <si>
    <t>AI is not a calculator - confirm math and totals against receipts.</t>
  </si>
  <si>
    <t>=COPILOT("Based on this memo, flag any expense-policy concerns (missing itemized receipt, over a per-head meal limit, gift limit, unapproved/shadow-IT vendor, capitalization threshold). If none, return 'OK'.", C2)</t>
  </si>
  <si>
    <t>This is judgment, not fact - treat as a prompt for a human reviewer.</t>
  </si>
  <si>
    <t>=COPILOT("Rate the urgency implied by this memo as Normal, Medium, or High, and briefly why.", C2)</t>
  </si>
  <si>
    <t>Low stakes - fine to use as a sort key.</t>
  </si>
  <si>
    <t>Summarize all</t>
  </si>
  <si>
    <t>=COPILOT("Summarize these expense memos into 3 bullet points a controller would care about.", C2:C16)</t>
  </si>
  <si>
    <t>Read the source rows behind any surprising claim.</t>
  </si>
  <si>
    <t>Note: COPILOT() requires a Microsoft 365 Copilot license and recalculates against a live model, so results can vary run to run. It is designed for text tasks - classify, extract, summarize - not precise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</si>
</sst>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5" x14ac:knownFonts="1">
    <font>
      <sz val="11"/>
      <color theme="1"/>
      <name val="Calibri"/>
      <family val="2"/>
      <charset val="1"/>
    </font>
    <font>
      <b/>
      <sz val="14"/>
      <color rgb="FFCF3338"/>
      <name val="Arial"/>
      <charset val="1"/>
    </font>
    <font>
      <i/>
      <sz val="10"/>
      <color rgb="FF707070"/>
      <name val="Arial"/>
      <charset val="1"/>
    </font>
    <font>
      <b/>
      <sz val="11"/>
      <color rgb="FFFFFFFF"/>
      <name val="Arial"/>
      <charset val="1"/>
    </font>
    <font>
      <sz val="10"/>
      <color rgb="FF1F2120"/>
      <name val="Arial"/>
      <charset val="1"/>
    </font>
  </fonts>
  <fills count="3">
    <fill>
      <patternFill patternType="none"/>
    </fill>
    <fill>
      <patternFill patternType="gray125"/>
    </fill>
    <fill>
      <patternFill patternType="solid">
        <fgColor rgb="FFCF3338"/>
        <bgColor rgb="FF99336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2" fillId="0" borderId="0" xfId="0" applyFont="1" applyAlignment="1">
      <alignment vertical="top" wrapText="1"/>
    </xf>
    <xf numFmtId="0" fontId="1" fillId="0" borderId="0" xfId="0" applyFont="1"/>
    <xf numFmtId="0" fontId="2" fillId="0" borderId="0" xfId="0" applyFont="1"/>
    <xf numFmtId="0" fontId="3" fillId="2" borderId="1" xfId="0" applyFont="1" applyFill="1" applyBorder="1" applyAlignment="1">
      <alignment vertical="center"/>
    </xf>
    <xf numFmtId="0" fontId="4" fillId="0" borderId="1" xfId="0" applyFont="1" applyBorder="1" applyAlignment="1">
      <alignment vertical="top"/>
    </xf>
    <xf numFmtId="0" fontId="4" fillId="0" borderId="1" xfId="0" applyFont="1" applyBorder="1" applyAlignment="1">
      <alignment vertical="top" wrapText="1"/>
    </xf>
    <xf numFmtId="4" fontId="4" fillId="0" borderId="1" xfId="0" applyNumberFormat="1" applyFont="1" applyBorder="1" applyAlignment="1">
      <alignment vertical="top"/>
    </xf>
    <xf numFmtId="3" fontId="4" fillId="0" borderId="1" xfId="0" applyNumberFormat="1" applyFont="1" applyBorder="1" applyAlignment="1">
      <alignment vertical="top"/>
    </xf>
    <xf numFmtId="164" fontId="4" fillId="0" borderId="1" xfId="0" applyNumberFormat="1" applyFont="1" applyBorder="1" applyAlignment="1">
      <alignment vertical="top"/>
    </xf>
    <xf numFmtId="165" fontId="4" fillId="0" borderId="1" xfId="0" applyNumberFormat="1" applyFont="1" applyBorder="1" applyAlignment="1">
      <alignment vertical="top"/>
    </xf>
    <xf numFmtId="0" fontId="3" fillId="2" borderId="1" xfId="0" applyFont="1" applyFill="1" applyBorder="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07070"/>
      <rgbColor rgb="FF9999FF"/>
      <rgbColor rgb="FFCF3338"/>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12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showGridLines="0" tabSelected="1" zoomScaleNormal="100" workbookViewId="0"/>
  </sheetViews>
  <sheetFormatPr defaultColWidth="8.703125" defaultRowHeight="14.35" x14ac:dyDescent="0.5"/>
  <cols>
    <col min="1" max="1" width="26" customWidth="1"/>
    <col min="2" max="2" width="34" customWidth="1"/>
    <col min="3" max="3" width="78" customWidth="1"/>
  </cols>
  <sheetData>
    <row r="1" spans="1:3" ht="17.7" x14ac:dyDescent="0.55000000000000004">
      <c r="A1" s="2" t="s">
        <v>0</v>
      </c>
    </row>
    <row r="2" spans="1:3" x14ac:dyDescent="0.5">
      <c r="A2" s="3" t="s">
        <v>1</v>
      </c>
    </row>
    <row r="4" spans="1:3" ht="21.75" customHeight="1" x14ac:dyDescent="0.5">
      <c r="A4" s="4" t="s">
        <v>2</v>
      </c>
      <c r="B4" s="4" t="s">
        <v>3</v>
      </c>
      <c r="C4" s="4" t="s">
        <v>4</v>
      </c>
    </row>
    <row r="5" spans="1:3" ht="25.35" x14ac:dyDescent="0.5">
      <c r="A5" s="5" t="s">
        <v>5</v>
      </c>
      <c r="B5" s="5" t="s">
        <v>6</v>
      </c>
      <c r="C5" s="6" t="s">
        <v>7</v>
      </c>
    </row>
    <row r="6" spans="1:3" ht="25.35" x14ac:dyDescent="0.5">
      <c r="A6" s="5" t="s">
        <v>8</v>
      </c>
      <c r="B6" s="5" t="s">
        <v>9</v>
      </c>
      <c r="C6" s="6" t="s">
        <v>10</v>
      </c>
    </row>
    <row r="7" spans="1:3" ht="25.35" x14ac:dyDescent="0.5">
      <c r="A7" s="5" t="s">
        <v>11</v>
      </c>
      <c r="B7" s="5" t="s">
        <v>12</v>
      </c>
      <c r="C7" s="6" t="s">
        <v>13</v>
      </c>
    </row>
    <row r="8" spans="1:3" x14ac:dyDescent="0.5">
      <c r="A8" s="5" t="s">
        <v>14</v>
      </c>
      <c r="B8" s="5" t="s">
        <v>15</v>
      </c>
      <c r="C8" s="6" t="s">
        <v>16</v>
      </c>
    </row>
    <row r="9" spans="1:3" x14ac:dyDescent="0.5">
      <c r="A9" s="5" t="s">
        <v>17</v>
      </c>
      <c r="B9" s="5" t="s">
        <v>18</v>
      </c>
      <c r="C9" s="6" t="s">
        <v>19</v>
      </c>
    </row>
    <row r="10" spans="1:3" x14ac:dyDescent="0.5">
      <c r="A10" s="5" t="s">
        <v>20</v>
      </c>
      <c r="B10" s="5" t="s">
        <v>21</v>
      </c>
      <c r="C10" s="6" t="s">
        <v>22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9"/>
  <sheetViews>
    <sheetView showGridLines="0" zoomScaleNormal="100" workbookViewId="0"/>
  </sheetViews>
  <sheetFormatPr defaultColWidth="8.703125" defaultRowHeight="14.35" x14ac:dyDescent="0.5"/>
  <cols>
    <col min="1" max="1" width="24" customWidth="1"/>
    <col min="2" max="2" width="14" customWidth="1"/>
    <col min="3" max="4" width="13" customWidth="1"/>
    <col min="5" max="5" width="15" customWidth="1"/>
    <col min="6" max="6" width="9" customWidth="1"/>
    <col min="7" max="7" width="12" customWidth="1"/>
    <col min="8" max="8" width="15" customWidth="1"/>
    <col min="9" max="9" width="13" customWidth="1"/>
    <col min="10" max="10" width="44" customWidth="1"/>
  </cols>
  <sheetData>
    <row r="1" spans="1:10" ht="21.75" customHeight="1" x14ac:dyDescent="0.5">
      <c r="A1" s="4" t="s">
        <v>23</v>
      </c>
      <c r="B1" s="4" t="s">
        <v>24</v>
      </c>
      <c r="C1" s="4" t="s">
        <v>25</v>
      </c>
      <c r="D1" s="4" t="s">
        <v>26</v>
      </c>
      <c r="E1" s="4" t="s">
        <v>27</v>
      </c>
      <c r="F1" s="4" t="s">
        <v>28</v>
      </c>
      <c r="G1" s="4" t="s">
        <v>29</v>
      </c>
      <c r="H1" s="4" t="s">
        <v>30</v>
      </c>
      <c r="I1" s="4" t="s">
        <v>31</v>
      </c>
      <c r="J1" s="4" t="s">
        <v>32</v>
      </c>
    </row>
    <row r="2" spans="1:10" x14ac:dyDescent="0.5">
      <c r="A2" s="5" t="s">
        <v>33</v>
      </c>
      <c r="B2" s="5" t="s">
        <v>34</v>
      </c>
      <c r="C2" s="5" t="s">
        <v>35</v>
      </c>
      <c r="D2" s="5" t="s">
        <v>36</v>
      </c>
      <c r="E2" s="7">
        <v>1250</v>
      </c>
      <c r="F2" s="5" t="s">
        <v>37</v>
      </c>
      <c r="G2" s="5" t="s">
        <v>38</v>
      </c>
      <c r="H2" s="5" t="s">
        <v>39</v>
      </c>
      <c r="I2" s="5" t="s">
        <v>40</v>
      </c>
      <c r="J2" s="6" t="s">
        <v>41</v>
      </c>
    </row>
    <row r="3" spans="1:10" x14ac:dyDescent="0.5">
      <c r="A3" s="5" t="s">
        <v>42</v>
      </c>
      <c r="B3" s="5" t="s">
        <v>43</v>
      </c>
      <c r="C3" s="5" t="s">
        <v>44</v>
      </c>
      <c r="D3" s="5" t="s">
        <v>45</v>
      </c>
      <c r="E3" s="7">
        <v>980.5</v>
      </c>
      <c r="F3" s="5" t="s">
        <v>46</v>
      </c>
      <c r="G3" s="5" t="s">
        <v>38</v>
      </c>
      <c r="H3" s="5" t="s">
        <v>39</v>
      </c>
      <c r="I3" s="5" t="s">
        <v>40</v>
      </c>
      <c r="J3" s="6" t="s">
        <v>47</v>
      </c>
    </row>
    <row r="4" spans="1:10" x14ac:dyDescent="0.5">
      <c r="A4" s="5" t="s">
        <v>48</v>
      </c>
      <c r="B4" s="5" t="s">
        <v>49</v>
      </c>
      <c r="C4" s="5" t="s">
        <v>50</v>
      </c>
      <c r="D4" s="5" t="s">
        <v>51</v>
      </c>
      <c r="E4" s="7">
        <v>1450</v>
      </c>
      <c r="F4" s="5" t="s">
        <v>37</v>
      </c>
      <c r="G4" s="5"/>
      <c r="H4" s="5" t="s">
        <v>52</v>
      </c>
      <c r="I4" s="5" t="s">
        <v>53</v>
      </c>
      <c r="J4" s="6" t="s">
        <v>54</v>
      </c>
    </row>
    <row r="5" spans="1:10" x14ac:dyDescent="0.5">
      <c r="A5" s="5" t="s">
        <v>55</v>
      </c>
      <c r="B5" s="5" t="s">
        <v>56</v>
      </c>
      <c r="C5" s="5" t="s">
        <v>57</v>
      </c>
      <c r="D5" s="5" t="s">
        <v>58</v>
      </c>
      <c r="E5" s="7">
        <v>3300</v>
      </c>
      <c r="F5" s="5" t="s">
        <v>37</v>
      </c>
      <c r="G5" s="5" t="s">
        <v>59</v>
      </c>
      <c r="H5" s="5" t="s">
        <v>60</v>
      </c>
      <c r="I5" s="5" t="s">
        <v>40</v>
      </c>
      <c r="J5" s="6" t="s">
        <v>61</v>
      </c>
    </row>
    <row r="6" spans="1:10" x14ac:dyDescent="0.5">
      <c r="A6" s="5" t="s">
        <v>62</v>
      </c>
      <c r="B6" s="5" t="s">
        <v>63</v>
      </c>
      <c r="C6" s="5" t="s">
        <v>64</v>
      </c>
      <c r="D6" s="5" t="s">
        <v>65</v>
      </c>
      <c r="E6" s="7">
        <v>3300</v>
      </c>
      <c r="F6" s="5" t="s">
        <v>37</v>
      </c>
      <c r="G6" s="5" t="s">
        <v>59</v>
      </c>
      <c r="H6" s="5" t="s">
        <v>39</v>
      </c>
      <c r="I6" s="5" t="s">
        <v>40</v>
      </c>
      <c r="J6" s="6" t="s">
        <v>61</v>
      </c>
    </row>
    <row r="7" spans="1:10" x14ac:dyDescent="0.5">
      <c r="A7" s="5" t="s">
        <v>66</v>
      </c>
      <c r="B7" s="5" t="s">
        <v>67</v>
      </c>
      <c r="C7" s="5" t="s">
        <v>68</v>
      </c>
      <c r="D7" s="5" t="s">
        <v>69</v>
      </c>
      <c r="E7" s="7">
        <v>212.75</v>
      </c>
      <c r="F7" s="5" t="s">
        <v>37</v>
      </c>
      <c r="G7" s="5" t="s">
        <v>38</v>
      </c>
      <c r="H7" s="5" t="s">
        <v>70</v>
      </c>
      <c r="I7" s="5" t="s">
        <v>53</v>
      </c>
      <c r="J7" s="6" t="s">
        <v>71</v>
      </c>
    </row>
    <row r="8" spans="1:10" x14ac:dyDescent="0.5">
      <c r="A8" s="5" t="s">
        <v>72</v>
      </c>
      <c r="B8" s="5" t="s">
        <v>73</v>
      </c>
      <c r="C8" s="5" t="s">
        <v>74</v>
      </c>
      <c r="D8" s="5" t="s">
        <v>75</v>
      </c>
      <c r="E8" s="7"/>
      <c r="F8" s="5" t="s">
        <v>37</v>
      </c>
      <c r="G8" s="5" t="s">
        <v>38</v>
      </c>
      <c r="H8" s="5" t="s">
        <v>70</v>
      </c>
      <c r="I8" s="5" t="s">
        <v>53</v>
      </c>
      <c r="J8" s="6" t="s">
        <v>76</v>
      </c>
    </row>
    <row r="9" spans="1:10" x14ac:dyDescent="0.5">
      <c r="A9" s="5" t="s">
        <v>77</v>
      </c>
      <c r="B9" s="5" t="s">
        <v>78</v>
      </c>
      <c r="C9" s="5" t="s">
        <v>79</v>
      </c>
      <c r="D9" s="5" t="s">
        <v>80</v>
      </c>
      <c r="E9" s="7">
        <v>8160.94</v>
      </c>
      <c r="F9" s="5" t="s">
        <v>37</v>
      </c>
      <c r="G9" s="5" t="s">
        <v>81</v>
      </c>
      <c r="H9" s="5" t="s">
        <v>70</v>
      </c>
      <c r="I9" s="5" t="s">
        <v>40</v>
      </c>
      <c r="J9" s="6" t="s">
        <v>82</v>
      </c>
    </row>
    <row r="10" spans="1:10" x14ac:dyDescent="0.5">
      <c r="A10" s="5" t="s">
        <v>83</v>
      </c>
      <c r="B10" s="5" t="s">
        <v>84</v>
      </c>
      <c r="C10" s="5" t="s">
        <v>85</v>
      </c>
      <c r="D10" s="5" t="s">
        <v>86</v>
      </c>
      <c r="E10" s="7">
        <v>-450</v>
      </c>
      <c r="F10" s="5" t="s">
        <v>37</v>
      </c>
      <c r="G10" s="5" t="s">
        <v>81</v>
      </c>
      <c r="H10" s="5" t="s">
        <v>70</v>
      </c>
      <c r="I10" s="5" t="s">
        <v>40</v>
      </c>
      <c r="J10" s="6" t="s">
        <v>87</v>
      </c>
    </row>
    <row r="11" spans="1:10" x14ac:dyDescent="0.5">
      <c r="A11" s="5" t="s">
        <v>88</v>
      </c>
      <c r="B11" s="5" t="s">
        <v>89</v>
      </c>
      <c r="C11" s="5" t="s">
        <v>90</v>
      </c>
      <c r="D11" s="5" t="s">
        <v>91</v>
      </c>
      <c r="E11" s="7">
        <v>1725</v>
      </c>
      <c r="F11" s="5" t="s">
        <v>92</v>
      </c>
      <c r="G11" s="5" t="s">
        <v>59</v>
      </c>
      <c r="H11" s="5" t="s">
        <v>70</v>
      </c>
      <c r="I11" s="5" t="s">
        <v>53</v>
      </c>
      <c r="J11" s="6" t="s">
        <v>93</v>
      </c>
    </row>
    <row r="12" spans="1:10" x14ac:dyDescent="0.5">
      <c r="A12" s="5" t="s">
        <v>88</v>
      </c>
      <c r="B12" s="5" t="s">
        <v>89</v>
      </c>
      <c r="C12" s="5" t="s">
        <v>90</v>
      </c>
      <c r="D12" s="5" t="s">
        <v>91</v>
      </c>
      <c r="E12" s="7">
        <v>1725</v>
      </c>
      <c r="F12" s="5" t="s">
        <v>92</v>
      </c>
      <c r="G12" s="5" t="s">
        <v>59</v>
      </c>
      <c r="H12" s="5" t="s">
        <v>70</v>
      </c>
      <c r="I12" s="5" t="s">
        <v>53</v>
      </c>
      <c r="J12" s="6" t="s">
        <v>93</v>
      </c>
    </row>
    <row r="13" spans="1:10" x14ac:dyDescent="0.5">
      <c r="A13" s="5" t="s">
        <v>94</v>
      </c>
      <c r="B13" s="5" t="s">
        <v>95</v>
      </c>
      <c r="C13" s="5" t="s">
        <v>51</v>
      </c>
      <c r="D13" s="5" t="s">
        <v>96</v>
      </c>
      <c r="E13" s="7">
        <v>640</v>
      </c>
      <c r="F13" s="5" t="s">
        <v>37</v>
      </c>
      <c r="G13" s="5" t="s">
        <v>97</v>
      </c>
      <c r="H13" s="5" t="s">
        <v>70</v>
      </c>
      <c r="I13" s="5" t="s">
        <v>40</v>
      </c>
      <c r="J13" s="6" t="s">
        <v>98</v>
      </c>
    </row>
    <row r="14" spans="1:10" x14ac:dyDescent="0.5">
      <c r="A14" s="5" t="s">
        <v>99</v>
      </c>
      <c r="B14" s="5" t="s">
        <v>100</v>
      </c>
      <c r="C14" s="5" t="s">
        <v>101</v>
      </c>
      <c r="D14" s="5" t="s">
        <v>102</v>
      </c>
      <c r="E14" s="7">
        <v>640</v>
      </c>
      <c r="F14" s="5" t="s">
        <v>37</v>
      </c>
      <c r="G14" s="5" t="s">
        <v>103</v>
      </c>
      <c r="H14" s="5" t="s">
        <v>70</v>
      </c>
      <c r="I14" s="5" t="s">
        <v>40</v>
      </c>
      <c r="J14" s="6" t="s">
        <v>104</v>
      </c>
    </row>
    <row r="15" spans="1:10" x14ac:dyDescent="0.5">
      <c r="A15" s="5" t="s">
        <v>105</v>
      </c>
      <c r="B15" s="5" t="s">
        <v>106</v>
      </c>
      <c r="C15" s="5" t="s">
        <v>107</v>
      </c>
      <c r="D15" s="5" t="s">
        <v>108</v>
      </c>
      <c r="E15" s="7">
        <v>12750</v>
      </c>
      <c r="F15" s="5" t="s">
        <v>37</v>
      </c>
      <c r="G15" s="5" t="s">
        <v>81</v>
      </c>
      <c r="H15" s="5" t="s">
        <v>70</v>
      </c>
      <c r="I15" s="5" t="s">
        <v>40</v>
      </c>
      <c r="J15" s="6" t="s">
        <v>109</v>
      </c>
    </row>
    <row r="16" spans="1:10" x14ac:dyDescent="0.5">
      <c r="A16" s="5" t="s">
        <v>110</v>
      </c>
      <c r="B16" s="5" t="s">
        <v>111</v>
      </c>
      <c r="C16" s="5" t="s">
        <v>112</v>
      </c>
      <c r="D16" s="5" t="s">
        <v>113</v>
      </c>
      <c r="E16" s="7">
        <v>2980.4</v>
      </c>
      <c r="F16" s="5" t="s">
        <v>37</v>
      </c>
      <c r="G16" s="5"/>
      <c r="H16" s="5" t="s">
        <v>52</v>
      </c>
      <c r="I16" s="5" t="s">
        <v>53</v>
      </c>
      <c r="J16" s="6" t="s">
        <v>114</v>
      </c>
    </row>
    <row r="17" spans="1:10" x14ac:dyDescent="0.5">
      <c r="A17" s="5" t="s">
        <v>115</v>
      </c>
      <c r="B17" s="5" t="s">
        <v>116</v>
      </c>
      <c r="C17" s="5" t="s">
        <v>117</v>
      </c>
      <c r="D17" s="5" t="s">
        <v>118</v>
      </c>
      <c r="E17" s="7">
        <v>415.6</v>
      </c>
      <c r="F17" s="5" t="s">
        <v>37</v>
      </c>
      <c r="G17" s="5" t="s">
        <v>97</v>
      </c>
      <c r="H17" s="5" t="s">
        <v>70</v>
      </c>
      <c r="I17" s="5" t="s">
        <v>40</v>
      </c>
      <c r="J17" s="6" t="s">
        <v>119</v>
      </c>
    </row>
    <row r="18" spans="1:10" x14ac:dyDescent="0.5">
      <c r="A18" s="5" t="s">
        <v>33</v>
      </c>
      <c r="B18" s="5" t="s">
        <v>120</v>
      </c>
      <c r="C18" s="5" t="s">
        <v>121</v>
      </c>
      <c r="D18" s="5" t="s">
        <v>122</v>
      </c>
      <c r="E18" s="7">
        <v>1250</v>
      </c>
      <c r="F18" s="5" t="s">
        <v>37</v>
      </c>
      <c r="G18" s="5" t="s">
        <v>38</v>
      </c>
      <c r="H18" s="5" t="s">
        <v>123</v>
      </c>
      <c r="I18" s="5" t="s">
        <v>40</v>
      </c>
      <c r="J18" s="6" t="s">
        <v>124</v>
      </c>
    </row>
    <row r="19" spans="1:10" x14ac:dyDescent="0.5">
      <c r="A19" s="5" t="s">
        <v>125</v>
      </c>
      <c r="B19" s="5" t="s">
        <v>126</v>
      </c>
      <c r="C19" s="5" t="s">
        <v>127</v>
      </c>
      <c r="D19" s="5" t="s">
        <v>128</v>
      </c>
      <c r="E19" s="7">
        <v>5400</v>
      </c>
      <c r="F19" s="5" t="s">
        <v>37</v>
      </c>
      <c r="G19" s="5" t="s">
        <v>59</v>
      </c>
      <c r="H19" s="5" t="s">
        <v>70</v>
      </c>
      <c r="I19" s="5" t="s">
        <v>53</v>
      </c>
      <c r="J19" s="6" t="s">
        <v>129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2"/>
  <sheetViews>
    <sheetView showGridLines="0" zoomScaleNormal="100" workbookViewId="0">
      <selection activeCell="A2" sqref="A2"/>
    </sheetView>
  </sheetViews>
  <sheetFormatPr defaultColWidth="8.703125" defaultRowHeight="14.35" x14ac:dyDescent="0.5"/>
  <cols>
    <col min="1" max="1" width="10" customWidth="1"/>
    <col min="2" max="2" width="12" customWidth="1"/>
    <col min="3" max="3" width="23.703125" customWidth="1"/>
    <col min="4" max="4" width="22" customWidth="1"/>
    <col min="5" max="5" width="20" customWidth="1"/>
    <col min="6" max="6" width="13" customWidth="1"/>
    <col min="7" max="7" width="32" customWidth="1"/>
    <col min="8" max="8" width="36.52734375" style="12" customWidth="1"/>
  </cols>
  <sheetData>
    <row r="1" spans="1:8" x14ac:dyDescent="0.5">
      <c r="A1" s="4" t="s">
        <v>130</v>
      </c>
      <c r="B1" s="4" t="s">
        <v>131</v>
      </c>
      <c r="C1" s="4" t="s">
        <v>132</v>
      </c>
      <c r="D1" s="4" t="s">
        <v>133</v>
      </c>
      <c r="E1" s="4" t="s">
        <v>134</v>
      </c>
      <c r="F1" s="4" t="s">
        <v>135</v>
      </c>
      <c r="G1" s="4" t="s">
        <v>136</v>
      </c>
      <c r="H1" s="11" t="s">
        <v>137</v>
      </c>
    </row>
    <row r="2" spans="1:8" ht="63.35" x14ac:dyDescent="0.5">
      <c r="A2" s="5" t="s">
        <v>138</v>
      </c>
      <c r="B2" s="5" t="s">
        <v>139</v>
      </c>
      <c r="C2" s="6" t="s">
        <v>140</v>
      </c>
      <c r="D2" s="5" t="str" cm="1">
        <f t="array" ref="D2">_xlfn._xlws.COPILOT("Classify this expense memo into one of: Meals &amp; Entertainment, Travel - Airfare, Travel - Ground, Software - Subscription, Equipment, Office Supplies, Mileage, Postage &amp; Shipping, Gifts, Petty Cash / Fees. Return only the category.", C2)</f>
        <v>Meals &amp; Entertainment</v>
      </c>
      <c r="E2" s="5" t="str" cm="1">
        <f t="array" ref="E2">_xlfn._xlws.COPILOT("Extract the vendor or merchant named in this memo. If none is named, return 'Not stated'.", C2)</f>
        <v>Contoso</v>
      </c>
      <c r="F2" s="5" cm="1">
        <f t="array" ref="F2">_xlfn._xlws.COPILOT("Extract the total US dollar amount as a number only, no symbols. If a per-unit price and quantity are given, multiply them. If no amount, return blank.", C2)</f>
        <v>182</v>
      </c>
      <c r="G2" s="6" t="str" cm="1">
        <f t="array" ref="G2">_xlfn._xlws.COPILOT("Based on this memo, flag any expense-policy concerns (missing itemized receipt, over a per-head meal limit, gift limit, unapproved/shadow-IT vendor, capitalization threshold). If none, return 'OK'.", C2)</f>
        <v>OK</v>
      </c>
      <c r="H2" s="6" t="str" cm="1">
        <f t="array" ref="H2">_xlfn._xlws.COPILOT("Rate the urgency implied by this memo as Normal, Medium, or High, and briefly why.", C2)</f>
        <v>Normal. The memo is informational and routine, describing a lunch expense and a regular task of closing out Q1 reconciliation. There is no indication of immediate action or critical urgency.</v>
      </c>
    </row>
    <row r="3" spans="1:8" ht="50.7" x14ac:dyDescent="0.5">
      <c r="A3" s="5" t="s">
        <v>141</v>
      </c>
      <c r="B3" s="5" t="s">
        <v>142</v>
      </c>
      <c r="C3" s="6" t="s">
        <v>143</v>
      </c>
      <c r="D3" s="5" t="str" cm="1">
        <f t="array" ref="D3">_xlfn._xlws.COPILOT("Classify this expense memo into one of: Meals &amp; Entertainment, Travel - Airfare, Travel - Ground, Software - Subscription, Equipment, Office Supplies, Mileage, Postage &amp; Shipping, Gifts, Petty Cash / Fees. Return only the category.", C3)</f>
        <v>Travel - Ground</v>
      </c>
      <c r="E3" s="5" t="str" cm="1">
        <f t="array" ref="E3">_xlfn._xlws.COPILOT("Extract the vendor or merchant named in this memo. If none is named, return 'Not stated'.", C3)</f>
        <v>Not stated</v>
      </c>
      <c r="F3" s="5" cm="1">
        <f t="array" ref="F3">_xlfn._xlws.COPILOT("Extract the total US dollar amount as a number only, no symbols. If a per-unit price and quantity are given, multiply them. If no amount, return blank.", C3)</f>
        <v>47</v>
      </c>
      <c r="G3" s="6" t="str" cm="1">
        <f t="array" ref="G3">_xlfn._xlws.COPILOT("Based on this memo, flag any expense-policy concerns (missing itemized receipt, over a per-head meal limit, gift limit, unapproved/shadow-IT vendor, capitalization threshold). If none, return 'OK'.", C3)</f>
        <v>OK</v>
      </c>
      <c r="H3" s="6" t="str" cm="1">
        <f t="array" ref="H3">_xlfn._xlws.COPILOT("Rate the urgency implied by this memo as Normal, Medium, or High, and briefly why.", C3)</f>
        <v>Normal. The memo is informational and apologetic about the cost and traffic delay but does not indicate any urgent action or immediate concern.</v>
      </c>
    </row>
    <row r="4" spans="1:8" ht="76" x14ac:dyDescent="0.5">
      <c r="A4" s="5" t="s">
        <v>144</v>
      </c>
      <c r="B4" s="5" t="s">
        <v>145</v>
      </c>
      <c r="C4" s="6" t="s">
        <v>146</v>
      </c>
      <c r="D4" s="5" t="str" cm="1">
        <f t="array" ref="D4">_xlfn._xlws.COPILOT("Classify this expense memo into one of: Meals &amp; Entertainment, Travel - Airfare, Travel - Ground, Software - Subscription, Equipment, Office Supplies, Mileage, Postage &amp; Shipping, Gifts, Petty Cash / Fees. Return only the category.", C4)</f>
        <v>Software - Subscription</v>
      </c>
      <c r="E4" s="5" t="str" cm="1">
        <f t="array" ref="E4">_xlfn._xlws.COPILOT("Extract the vendor or merchant named in this memo. If none is named, return 'Not stated'.", C4)</f>
        <v>DocuSign</v>
      </c>
      <c r="F4" s="5" cm="1">
        <f t="array" ref="F4">_xlfn._xlws.COPILOT("Extract the total US dollar amount as a number only, no symbols. If a per-unit price and quantity are given, multiply them. If no amount, return blank.", C4)</f>
        <v>9600</v>
      </c>
      <c r="G4" s="6" t="str" cm="1">
        <f t="array" ref="G4">_xlfn._xlws.COPILOT("Based on this memo, flag any expense-policy concerns (missing itemized receipt, over a per-head meal limit, gift limit, unapproved/shadow-IT vendor, capitalization threshold). If none, return 'OK'.", C4)</f>
        <v>OK</v>
      </c>
      <c r="H4" s="6" t="str" cm="1">
        <f t="array" ref="H4">_xlfn._xlws.COPILOT("Rate the urgency implied by this memo as Normal, Medium, or High, and briefly why.", C4)</f>
        <v>Urgency: Medium. The memo indicates an annual renewal with an attached invoice and budget approval, suggesting the need for timely processing to avoid service interruption, but it does not imply immediate or emergency action.</v>
      </c>
    </row>
    <row r="5" spans="1:8" ht="139.35" x14ac:dyDescent="0.5">
      <c r="A5" s="5" t="s">
        <v>147</v>
      </c>
      <c r="B5" s="5" t="s">
        <v>148</v>
      </c>
      <c r="C5" s="6" t="s">
        <v>149</v>
      </c>
      <c r="D5" s="5" t="str" cm="1">
        <f t="array" ref="D5">_xlfn._xlws.COPILOT("Classify this expense memo into one of: Meals &amp; Entertainment, Travel - Airfare, Travel - Ground, Software - Subscription, Equipment, Office Supplies, Mileage, Postage &amp; Shipping, Gifts, Petty Cash / Fees. Return only the category.", C5)</f>
        <v>Equipment</v>
      </c>
      <c r="E5" s="5" t="str" cm="1">
        <f t="array" ref="E5">_xlfn._xlws.COPILOT("Extract the vendor or merchant named in this memo. If none is named, return 'Not stated'.", C5)</f>
        <v>Best Buy</v>
      </c>
      <c r="F5" s="5" cm="1">
        <f t="array" ref="F5">_xlfn._xlws.COPILOT("Extract the total US dollar amount as a number only, no symbols. If a per-unit price and quantity are given, multiply them. If no amount, return blank.", C5)</f>
        <v>659.96</v>
      </c>
      <c r="G5" s="6" t="str" cm="1">
        <f t="array" ref="G5">_xlfn._xlws.COPILOT("Based on this memo, flag any expense-policy concerns (missing itemized receipt, over a per-head meal limit, gift limit, unapproved/shadow-IT vendor, capitalization threshold). If none, return 'OK'.", C5)</f>
        <v>Expense-policy concern: The purchase of 2 monitors from Best Buy at $329.98 each may exceed the capitalization threshold depending on the company's policy for capitalizing equipment. Additionally, the vendor (Best Buy) should be verified as an approved vendor to avoid shadow-IT concerns. Also, ensure that itemized receipts are provided for the purchase. No meal or gift limits are applicable in this memo.</v>
      </c>
      <c r="H5" s="6" t="str" cm="1">
        <f t="array" ref="H5">_xlfn._xlws.COPILOT("Rate the urgency implied by this memo as Normal, Medium, or High, and briefly why.", C5)</f>
        <v>Urgency: Medium. The memo indicates a need for the monitors before the new AP clerk starts on Monday, implying a time-sensitive requirement but not an immediate or emergency situation.</v>
      </c>
    </row>
    <row r="6" spans="1:8" ht="228" x14ac:dyDescent="0.5">
      <c r="A6" s="5" t="s">
        <v>150</v>
      </c>
      <c r="B6" s="5" t="s">
        <v>139</v>
      </c>
      <c r="C6" s="6" t="s">
        <v>151</v>
      </c>
      <c r="D6" s="5" t="str" cm="1">
        <f t="array" ref="D6">_xlfn._xlws.COPILOT("Classify this expense memo into one of: Meals &amp; Entertainment, Travel - Airfare, Travel - Ground, Software - Subscription, Equipment, Office Supplies, Mileage, Postage &amp; Shipping, Gifts, Petty Cash / Fees. Return only the category.", C6)</f>
        <v>Meals &amp; Entertainment</v>
      </c>
      <c r="E6" s="5" t="str" cm="1">
        <f t="array" ref="E6">_xlfn._xlws.COPILOT("Extract the vendor or merchant named in this memo. If none is named, return 'Not stated'.", C6)</f>
        <v>Steakhouse near the office</v>
      </c>
      <c r="F6" s="5" cm="1">
        <f t="array" ref="F6">_xlfn._xlws.COPILOT("Extract the total US dollar amount as a number only, no symbols. If a per-unit price and quantity are given, multiply them. If no amount, return blank.", C6)</f>
        <v>540</v>
      </c>
      <c r="G6" s="6" t="str" cm="1">
        <f t="array" ref="G6">_xlfn._xlws.COPILOT("Based on this memo, flag any expense-policy concerns (missing itemized receipt, over a per-head meal limit, gift limit, unapproved/shadow-IT vendor, capitalization threshold). If none, return 'OK'.", C6)</f>
        <v>Expense-policy concerns:
- Missing itemized receipt (not mentioned in the memo).
- Over per-head meal limit: Total 540+ for 6 people means per-head cost is approximately 90+, which may exceed typical per-head meal limits depending on policy.
- No mention of gift limit issues.
- Vendor is a steakhouse near the office, likely approved, no shadow-IT vendor concern.
- No mention of capitalization threshold issues.
Summary: Potential concern on per-head meal limit and missing itemized receipt.</v>
      </c>
      <c r="H6" s="6" t="str" cm="1">
        <f t="array" ref="H6">_xlfn._xlws.COPILOT("Rate the urgency implied by this memo as Normal, Medium, or High, and briefly why.", C6)</f>
        <v>Normal - The memo is informational about a dinner event with external auditors, including the number of people and cost. There is no indication of an urgent action or immediate response required.</v>
      </c>
    </row>
    <row r="7" spans="1:8" ht="63.35" x14ac:dyDescent="0.5">
      <c r="A7" s="5" t="s">
        <v>152</v>
      </c>
      <c r="B7" s="5" t="s">
        <v>153</v>
      </c>
      <c r="C7" s="6" t="s">
        <v>154</v>
      </c>
      <c r="D7" s="5" t="str" cm="1">
        <f t="array" ref="D7">_xlfn._xlws.COPILOT("Classify this expense memo into one of: Meals &amp; Entertainment, Travel - Airfare, Travel - Ground, Software - Subscription, Equipment, Office Supplies, Mileage, Postage &amp; Shipping, Gifts, Petty Cash / Fees. Return only the category.", C7)</f>
        <v>Travel - Airfare</v>
      </c>
      <c r="E7" s="5" t="str" cm="1">
        <f t="array" ref="E7">_xlfn._xlws.COPILOT("Extract the vendor or merchant named in this memo. If none is named, return 'Not stated'.", C7)</f>
        <v>Delta</v>
      </c>
      <c r="F7" s="5" cm="1">
        <f t="array" ref="F7">_xlfn._xlws.COPILOT("Extract the total US dollar amount as a number only, no symbols. If a per-unit price and quantity are given, multiply them. If no amount, return blank.", C7)</f>
        <v>612</v>
      </c>
      <c r="G7" s="6" t="str" cm="1">
        <f t="array" ref="G7">_xlfn._xlws.COPILOT("Based on this memo, flag any expense-policy concerns (missing itemized receipt, over a per-head meal limit, gift limit, unapproved/shadow-IT vendor, capitalization threshold). If none, return 'OK'.", C7)</f>
        <v>OK</v>
      </c>
      <c r="H7" s="6" t="str" cm="1">
        <f t="array" ref="H7">_xlfn._xlws.COPILOT("Rate the urgency implied by this memo as Normal, Medium, or High, and briefly why.", C7)</f>
        <v>Normal - The memo provides straightforward travel information without any indication of immediate action or critical deadlines, implying a routine update rather than urgent communication.</v>
      </c>
    </row>
    <row r="8" spans="1:8" ht="88.7" x14ac:dyDescent="0.5">
      <c r="A8" s="5" t="s">
        <v>155</v>
      </c>
      <c r="B8" s="5" t="s">
        <v>142</v>
      </c>
      <c r="C8" s="6" t="s">
        <v>156</v>
      </c>
      <c r="D8" s="5" t="str" cm="1">
        <f t="array" ref="D8">_xlfn._xlws.COPILOT("Classify this expense memo into one of: Meals &amp; Entertainment, Travel - Airfare, Travel - Ground, Software - Subscription, Equipment, Office Supplies, Mileage, Postage &amp; Shipping, Gifts, Petty Cash / Fees. Return only the category.", C8)</f>
        <v>Meals &amp; Entertainment</v>
      </c>
      <c r="E8" s="5" t="str" cm="1">
        <f t="array" ref="E8">_xlfn._xlws.COPILOT("Extract the vendor or merchant named in this memo. If none is named, return 'Not stated'.", C8)</f>
        <v>Not stated</v>
      </c>
      <c r="F8" s="5" cm="1">
        <f t="array" ref="F8">_xlfn._xlws.COPILOT("Extract the total US dollar amount as a number only, no symbols. If a per-unit price and quantity are given, multiply them. If no amount, return blank.", C8)</f>
        <v>88</v>
      </c>
      <c r="G8" s="6" t="str" cm="1">
        <f t="array" ref="G8">_xlfn._xlws.COPILOT("Based on this memo, flag any expense-policy concerns (missing itemized receipt, over a per-head meal limit, gift limit, unapproved/shadow-IT vendor, capitalization threshold). If none, return 'OK'.", C8)</f>
        <v>Missing itemized receipt and potential over a per-head meal limit (depending on team size).</v>
      </c>
      <c r="H8" s="6" t="str" cm="1">
        <f t="array" ref="H8">_xlfn._xlws.COPILOT("Rate the urgency implied by this memo as Normal, Medium, or High, and briefly why.", C8)</f>
        <v>Urgency: Medium. The memo indicates a recent event related to a month-end close, which is typically a time-sensitive business activity. The mention of the team working late till 9 suggests some urgency, but the tone is casual and focused on a small expense reimbursement, so it is not high urgency.</v>
      </c>
    </row>
    <row r="9" spans="1:8" ht="101.35" x14ac:dyDescent="0.5">
      <c r="A9" s="5" t="s">
        <v>157</v>
      </c>
      <c r="B9" s="5" t="s">
        <v>148</v>
      </c>
      <c r="C9" s="6" t="s">
        <v>158</v>
      </c>
      <c r="D9" s="5" t="str" cm="1">
        <f t="array" ref="D9">_xlfn._xlws.COPILOT("Classify this expense memo into one of: Meals &amp; Entertainment, Travel - Airfare, Travel - Ground, Software - Subscription, Equipment, Office Supplies, Mileage, Postage &amp; Shipping, Gifts, Petty Cash / Fees. Return only the category.", C9)</f>
        <v>Office Supplies</v>
      </c>
      <c r="E9" s="5" t="str" cm="1">
        <f t="array" ref="E9">_xlfn._xlws.COPILOT("Extract the vendor or merchant named in this memo. If none is named, return 'Not stated'.", C9)</f>
        <v>Staples</v>
      </c>
      <c r="F9" s="5" cm="1">
        <f t="array" ref="F9">_xlfn._xlws.COPILOT("Extract the total US dollar amount as a number only, no symbols. If a per-unit price and quantity are given, multiply them. If no amount, return blank.", C9)</f>
        <v>214.5</v>
      </c>
      <c r="G9" s="6" t="str" cm="1">
        <f t="array" ref="G9">_xlfn._xlws.COPILOT("Based on this memo, flag any expense-policy concerns (missing itemized receipt, over a per-head meal limit, gift limit, unapproved/shadow-IT vendor, capitalization threshold). If none, return 'OK'.", C9)</f>
        <v>OK</v>
      </c>
      <c r="H9" s="6" t="str" cm="1">
        <f t="array" ref="H9">_xlfn._xlws.COPILOT("Rate the urgency implied by this memo as Normal, Medium, or High, and briefly why.", C9)</f>
        <v>Urgency: Normal
Reason: The memo describes a routine maintenance task (replacing toner) due to a quality issue (streaking on remittance stubs). It does not indicate an immediate or critical problem requiring urgent action, just a standard replacement to maintain print quality.</v>
      </c>
    </row>
    <row r="10" spans="1:8" ht="76" x14ac:dyDescent="0.5">
      <c r="A10" s="5" t="s">
        <v>159</v>
      </c>
      <c r="B10" s="5" t="s">
        <v>145</v>
      </c>
      <c r="C10" s="6" t="s">
        <v>160</v>
      </c>
      <c r="D10" s="5" t="str" cm="1">
        <f t="array" ref="D10">_xlfn._xlws.COPILOT("Classify this expense memo into one of: Meals &amp; Entertainment, Travel - Airfare, Travel - Ground, Software - Subscription, Equipment, Office Supplies, Mileage, Postage &amp; Shipping, Gifts, Petty Cash / Fees. Return only the category.", C10)</f>
        <v>Petty Cash / Fees</v>
      </c>
      <c r="E10" s="5" t="str" cm="1">
        <f t="array" ref="E10">_xlfn._xlws.COPILOT("Extract the vendor or merchant named in this memo. If none is named, return 'Not stated'.", C10)</f>
        <v>Not stated</v>
      </c>
      <c r="F10" s="5" cm="1">
        <f t="array" ref="F10">_xlfn._xlws.COPILOT("Extract the total US dollar amount as a number only, no symbols. If a per-unit price and quantity are given, multiply them. If no amount, return blank.", C10)</f>
        <v>35</v>
      </c>
      <c r="G10" s="6" t="str" cm="1">
        <f t="array" ref="G10">_xlfn._xlws.COPILOT("Based on this memo, flag any expense-policy concerns (missing itemized receipt, over a per-head meal limit, gift limit, unapproved/shadow-IT vendor, capitalization threshold). If none, return 'OK'.", C10)</f>
        <v>OK</v>
      </c>
      <c r="H10" s="6" t="str" cm="1">
        <f t="array" ref="H10">_xlfn._xlws.COPILOT("Rate the urgency implied by this memo as Normal, Medium, or High, and briefly why.", C10)</f>
        <v>Urgency: Normal
Reason: The memo describes a routine petty cash reimbursement for a parking fee related to filing a lien release. There is no indication of an immediate deadline or critical issue requiring urgent attention.</v>
      </c>
    </row>
    <row r="11" spans="1:8" ht="76" x14ac:dyDescent="0.5">
      <c r="A11" s="5" t="s">
        <v>161</v>
      </c>
      <c r="B11" s="5" t="s">
        <v>153</v>
      </c>
      <c r="C11" s="6" t="s">
        <v>162</v>
      </c>
      <c r="D11" s="5" t="str" cm="1">
        <f t="array" ref="D11">_xlfn._xlws.COPILOT("Classify this expense memo into one of: Meals &amp; Entertainment, Travel - Airfare, Travel - Ground, Software - Subscription, Equipment, Office Supplies, Mileage, Postage &amp; Shipping, Gifts, Petty Cash / Fees. Return only the category.", C11)</f>
        <v>Software - Subscription</v>
      </c>
      <c r="E11" s="5" t="str" cm="1">
        <f t="array" ref="E11">_xlfn._xlws.COPILOT("Extract the vendor or merchant named in this memo. If none is named, return 'Not stated'.", C11)</f>
        <v>Not stated</v>
      </c>
      <c r="F11" s="5" cm="1">
        <f t="array" ref="F11">_xlfn._xlws.COPILOT("Extract the total US dollar amount as a number only, no symbols. If a per-unit price and quantity are given, multiply them. If no amount, return blank.", C11)</f>
        <v>1999.9</v>
      </c>
      <c r="G11" s="6" t="str" cm="1">
        <f t="array" ref="G11">_xlfn._xlws.COPILOT("Based on this memo, flag any expense-policy concerns (missing itemized receipt, over a per-head meal limit, gift limit, unapproved/shadow-IT vendor, capitalization threshold). If none, return 'OK'.", C11)</f>
        <v>OK</v>
      </c>
      <c r="H11" s="6" t="str" cm="1">
        <f t="array" ref="H11">_xlfn._xlws.COPILOT("Rate the urgency implied by this memo as Normal, Medium, or High, and briefly why.", C11)</f>
        <v>Urgency: Medium. The memo indicates a need to review and possibly adjust the seat count for the Zoom Business annual subscription, which suggests some attention is required soon but does not imply an immediate or critical issue.</v>
      </c>
    </row>
    <row r="12" spans="1:8" ht="63.35" x14ac:dyDescent="0.5">
      <c r="A12" s="5" t="s">
        <v>163</v>
      </c>
      <c r="B12" s="5" t="s">
        <v>139</v>
      </c>
      <c r="C12" s="6" t="s">
        <v>164</v>
      </c>
      <c r="D12" s="5" t="str" cm="1">
        <f t="array" ref="D12">_xlfn._xlws.COPILOT("Classify this expense memo into one of: Meals &amp; Entertainment, Travel - Airfare, Travel - Ground, Software - Subscription, Equipment, Office Supplies, Mileage, Postage &amp; Shipping, Gifts, Petty Cash / Fees. Return only the category.", C12)</f>
        <v>Gifts</v>
      </c>
      <c r="E12" s="5" t="str" cm="1">
        <f t="array" ref="E12">_xlfn._xlws.COPILOT("Extract the vendor or merchant named in this memo. If none is named, return 'Not stated'.", C12)</f>
        <v>Harry &amp; David</v>
      </c>
      <c r="F12" s="5" cm="1">
        <f t="array" ref="F12">_xlfn._xlws.COPILOT("Extract the total US dollar amount as a number only, no symbols. If a per-unit price and quantity are given, multiply them. If no amount, return blank.", C12)</f>
        <v>500</v>
      </c>
      <c r="G12" s="6" t="str" cm="1">
        <f t="array" ref="G12">_xlfn._xlws.COPILOT("Based on this memo, flag any expense-policy concerns (missing itemized receipt, over a per-head meal limit, gift limit, unapproved/shadow-IT vendor, capitalization threshold). If none, return 'OK'.", C12)</f>
        <v>OK</v>
      </c>
      <c r="H12" s="6" t="str" cm="1">
        <f t="array" ref="H12">_xlfn._xlws.COPILOT("Rate the urgency implied by this memo as Normal, Medium, or High, and briefly why.", C12)</f>
        <v>Normal. The memo indicates a routine, planned activity (year-end client gift baskets) with a specified budget and source, suggesting standard business practice rather than an urgent or time-sensitive issue.</v>
      </c>
    </row>
    <row r="13" spans="1:8" ht="76" x14ac:dyDescent="0.5">
      <c r="A13" s="5" t="s">
        <v>165</v>
      </c>
      <c r="B13" s="5" t="s">
        <v>142</v>
      </c>
      <c r="C13" s="6" t="s">
        <v>166</v>
      </c>
      <c r="D13" s="5" t="str" cm="1">
        <f t="array" ref="D13">_xlfn._xlws.COPILOT("Classify this expense memo into one of: Meals &amp; Entertainment, Travel - Airfare, Travel - Ground, Software - Subscription, Equipment, Office Supplies, Mileage, Postage &amp; Shipping, Gifts, Petty Cash / Fees. Return only the category.", C13)</f>
        <v>Software - Subscription</v>
      </c>
      <c r="E13" s="5" t="str" cm="1">
        <f t="array" ref="E13">_xlfn._xlws.COPILOT("Extract the vendor or merchant named in this memo. If none is named, return 'Not stated'.", C13)</f>
        <v>Not stated</v>
      </c>
      <c r="F13" s="5" cm="1">
        <f t="array" ref="F13">_xlfn._xlws.COPILOT("Extract the total US dollar amount as a number only, no symbols. If a per-unit price and quantity are given, multiply them. If no amount, return blank.", C13)</f>
        <v>29</v>
      </c>
      <c r="G13" s="6" t="str" cm="1">
        <f t="array" ref="G13">_xlfn._xlws.COPILOT("Based on this memo, flag any expense-policy concerns (missing itemized receipt, over a per-head meal limit, gift limit, unapproved/shadow-IT vendor, capitalization threshold). If none, return 'OK'.", C13)</f>
        <v>Expense-policy concern: The AI note-taker subscription at $29/mo may be considered a shadow-IT vendor if it is unapproved by the company. Please verify vendor approval before charging to company card.</v>
      </c>
      <c r="H13" s="6" t="str" cm="1">
        <f t="array" ref="H13">_xlfn._xlws.COPILOT("Rate the urgency implied by this memo as Normal, Medium, or High, and briefly why.", C13)</f>
        <v>Urgency: Normal
Reason: The memo is a straightforward request to put a $29/month AI note-taking service on the card, with no indication of immediate or critical action needed.</v>
      </c>
    </row>
    <row r="14" spans="1:8" ht="50.7" x14ac:dyDescent="0.5">
      <c r="A14" s="5" t="s">
        <v>167</v>
      </c>
      <c r="B14" s="5" t="s">
        <v>148</v>
      </c>
      <c r="C14" s="6" t="s">
        <v>168</v>
      </c>
      <c r="D14" s="5" t="str" cm="1">
        <f t="array" ref="D14">_xlfn._xlws.COPILOT("Classify this expense memo into one of: Meals &amp; Entertainment, Travel - Airfare, Travel - Ground, Software - Subscription, Equipment, Office Supplies, Mileage, Postage &amp; Shipping, Gifts, Petty Cash / Fees. Return only the category.", C14)</f>
        <v>Mileage</v>
      </c>
      <c r="E14" s="5" t="str" cm="1">
        <f t="array" ref="E14">_xlfn._xlws.COPILOT("Extract the vendor or merchant named in this memo. If none is named, return 'Not stated'.", C14)</f>
        <v>Not stated</v>
      </c>
      <c r="F14" s="5" t="str" cm="1">
        <f t="array" ref="F14">_xlfn._xlws.COPILOT("Extract the total US dollar amount as a number only, no symbols. If a per-unit price and quantity are given, multiply them. If no amount, return blank.", C14)</f>
        <v/>
      </c>
      <c r="G14" s="6" t="str" cm="1">
        <f t="array" ref="G14">_xlfn._xlws.COPILOT("Based on this memo, flag any expense-policy concerns (missing itemized receipt, over a per-head meal limit, gift limit, unapproved/shadow-IT vendor, capitalization threshold). If none, return 'OK'.", C14)</f>
        <v>OK</v>
      </c>
      <c r="H14" s="6" t="str" cm="1">
        <f t="array" ref="H14">_xlfn._xlws.COPILOT("Rate the urgency implied by this memo as Normal, Medium, or High, and briefly why.", C14)</f>
        <v>Normal - The memo simply reports a routine activity of driving to the bank to deposit documents, which does not imply any urgent or time-sensitive action.</v>
      </c>
    </row>
    <row r="15" spans="1:8" ht="63.35" x14ac:dyDescent="0.5">
      <c r="A15" s="5" t="s">
        <v>169</v>
      </c>
      <c r="B15" s="5" t="s">
        <v>145</v>
      </c>
      <c r="C15" s="6" t="s">
        <v>170</v>
      </c>
      <c r="D15" s="5" t="str" cm="1">
        <f t="array" ref="D15">_xlfn._xlws.COPILOT("Classify this expense memo into one of: Meals &amp; Entertainment, Travel - Airfare, Travel - Ground, Software - Subscription, Equipment, Office Supplies, Mileage, Postage &amp; Shipping, Gifts, Petty Cash / Fees. Return only the category.", C15)</f>
        <v>Postage &amp; Shipping</v>
      </c>
      <c r="E15" s="5" t="str" cm="1">
        <f t="array" ref="E15">_xlfn._xlws.COPILOT("Extract the vendor or merchant named in this memo. If none is named, return 'Not stated'.", C15)</f>
        <v>FedEx</v>
      </c>
      <c r="F15" s="5" cm="1">
        <f t="array" ref="F15">_xlfn._xlws.COPILOT("Extract the total US dollar amount as a number only, no symbols. If a per-unit price and quantity are given, multiply them. If no amount, return blank.", C15)</f>
        <v>58</v>
      </c>
      <c r="G15" s="6" t="str" cm="1">
        <f t="array" ref="G15">_xlfn._xlws.COPILOT("Based on this memo, flag any expense-policy concerns (missing itemized receipt, over a per-head meal limit, gift limit, unapproved/shadow-IT vendor, capitalization threshold). If none, return 'OK'.", C15)</f>
        <v>OK</v>
      </c>
      <c r="H15" s="6" t="str" cm="1">
        <f t="array" ref="H15">_xlfn._xlws.COPILOT("Rate the urgency implied by this memo as Normal, Medium, or High, and briefly why.", C15)</f>
        <v>Urgency: Medium. The memo indicates a need for overnight FedEx delivery of signed W-9 forms to a new vendor to enable payment, which suggests a time-sensitive task but not an emergency.</v>
      </c>
    </row>
    <row r="16" spans="1:8" ht="63.35" x14ac:dyDescent="0.5">
      <c r="A16" s="5" t="s">
        <v>171</v>
      </c>
      <c r="B16" s="5" t="s">
        <v>153</v>
      </c>
      <c r="C16" s="6" t="s">
        <v>172</v>
      </c>
      <c r="D16" s="5" t="str" cm="1">
        <f t="array" ref="D16">_xlfn._xlws.COPILOT("Classify this expense memo into one of: Meals &amp; Entertainment, Travel - Airfare, Travel - Ground, Software - Subscription, Equipment, Office Supplies, Mileage, Postage &amp; Shipping, Gifts, Petty Cash / Fees. Return only the category.", C16)</f>
        <v>Meals &amp; Entertainment</v>
      </c>
      <c r="E16" s="5" t="str" cm="1">
        <f t="array" ref="E16">_xlfn._xlws.COPILOT("Extract the vendor or merchant named in this memo. If none is named, return 'Not stated'.", C16)</f>
        <v>Not stated</v>
      </c>
      <c r="F16" s="5" cm="1">
        <f t="array" ref="F16">_xlfn._xlws.COPILOT("Extract the total US dollar amount as a number only, no symbols. If a per-unit price and quantity are given, multiply them. If no amount, return blank.", C16)</f>
        <v>300</v>
      </c>
      <c r="G16" s="6" t="str" cm="1">
        <f t="array" ref="G16">_xlfn._xlws.COPILOT("Based on this memo, flag any expense-policy concerns (missing itemized receipt, over a per-head meal limit, gift limit, unapproved/shadow-IT vendor, capitalization threshold). If none, return 'OK'.", C16)</f>
        <v>Expense-policy concern: missing itemized receipt for the team offsite lunch.</v>
      </c>
      <c r="H16" s="6" t="str" cm="1">
        <f t="array" ref="H16">_xlfn._xlws.COPILOT("Rate the urgency implied by this memo as Normal, Medium, or High, and briefly why.", C16)</f>
        <v>Urgency: Normal. The memo is about a routine expense for a team lunch with a general cost estimate and a note about the receipt type. There is no indication of an immediate issue or urgent action required.</v>
      </c>
    </row>
    <row r="18" spans="1:1" x14ac:dyDescent="0.5">
      <c r="A18" s="3" t="s">
        <v>173</v>
      </c>
    </row>
    <row r="20" spans="1:1" x14ac:dyDescent="0.5">
      <c r="A20" t="str" cm="1">
        <f t="array" ref="A20:A22">_xlfn._xlws.COPILOT("Summarize these expense memos into 3 bullet points a controller would care about.", C2:C16)</f>
        <v>Significant recurring and annual expenses include the $9,600 annual DocuSign renewal and the $1,999.90 Zoom Business subscription, with potential seat count adjustments needed.</v>
      </c>
    </row>
    <row r="21" spans="1:1" x14ac:dyDescent="0.5">
      <c r="A21" t="str">
        <v>Travel and vendor-related expenses such as flights to the SAP conference ($612), Uber rides ($47), and overnight FedEx ($58) were incurred, along with client and team-related hospitality costs (e.g., lunches, dinners, and gift baskets totaling over $1,500).</v>
      </c>
    </row>
    <row r="22" spans="1:1" x14ac:dyDescent="0.5">
      <c r="A22" t="str">
        <v>Office and operational supplies purchases include monitors for new staff ($659.96 total), check printer toner replacement ($214.50), and petty cash reimbursements for parking and mileage, reflecting ongoing support for team and administrative functions.</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1"/>
  <sheetViews>
    <sheetView showGridLines="0" zoomScaleNormal="100" workbookViewId="0">
      <selection activeCell="B9" sqref="B9"/>
    </sheetView>
  </sheetViews>
  <sheetFormatPr defaultColWidth="8.703125" defaultRowHeight="14.35" x14ac:dyDescent="0.5"/>
  <cols>
    <col min="1" max="1" width="16" customWidth="1"/>
    <col min="2" max="2" width="90" customWidth="1"/>
    <col min="3" max="3" width="50" customWidth="1"/>
  </cols>
  <sheetData>
    <row r="1" spans="1:3" ht="17.7" x14ac:dyDescent="0.55000000000000004">
      <c r="A1" s="2" t="s">
        <v>190</v>
      </c>
    </row>
    <row r="3" spans="1:3" ht="21.75" customHeight="1" x14ac:dyDescent="0.5">
      <c r="A3" s="4" t="s">
        <v>191</v>
      </c>
      <c r="B3" s="4" t="s">
        <v>192</v>
      </c>
      <c r="C3" s="4" t="s">
        <v>193</v>
      </c>
    </row>
    <row r="4" spans="1:3" ht="38" x14ac:dyDescent="0.5">
      <c r="A4" s="5" t="s">
        <v>133</v>
      </c>
      <c r="B4" s="6" t="s">
        <v>194</v>
      </c>
      <c r="C4" s="6" t="s">
        <v>195</v>
      </c>
    </row>
    <row r="5" spans="1:3" x14ac:dyDescent="0.5">
      <c r="A5" s="5" t="s">
        <v>134</v>
      </c>
      <c r="B5" s="6" t="s">
        <v>196</v>
      </c>
      <c r="C5" s="6" t="s">
        <v>197</v>
      </c>
    </row>
    <row r="6" spans="1:3" ht="25.35" x14ac:dyDescent="0.5">
      <c r="A6" s="5" t="s">
        <v>135</v>
      </c>
      <c r="B6" s="6" t="s">
        <v>198</v>
      </c>
      <c r="C6" s="6" t="s">
        <v>199</v>
      </c>
    </row>
    <row r="7" spans="1:3" ht="25.35" x14ac:dyDescent="0.5">
      <c r="A7" s="5" t="s">
        <v>136</v>
      </c>
      <c r="B7" s="6" t="s">
        <v>200</v>
      </c>
      <c r="C7" s="6" t="s">
        <v>201</v>
      </c>
    </row>
    <row r="8" spans="1:3" x14ac:dyDescent="0.5">
      <c r="A8" s="5" t="s">
        <v>137</v>
      </c>
      <c r="B8" s="6" t="s">
        <v>202</v>
      </c>
      <c r="C8" s="6" t="s">
        <v>203</v>
      </c>
    </row>
    <row r="9" spans="1:3" x14ac:dyDescent="0.5">
      <c r="A9" s="5" t="s">
        <v>204</v>
      </c>
      <c r="B9" s="6" t="s">
        <v>205</v>
      </c>
      <c r="C9" s="6" t="s">
        <v>206</v>
      </c>
    </row>
    <row r="11" spans="1:3" x14ac:dyDescent="0.5">
      <c r="A11" s="3" t="s">
        <v>207</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6"/>
  <sheetViews>
    <sheetView showGridLines="0" zoomScaleNormal="100" workbookViewId="0"/>
  </sheetViews>
  <sheetFormatPr defaultColWidth="8.703125" defaultRowHeight="14.35" x14ac:dyDescent="0.5"/>
  <cols>
    <col min="1" max="1" width="10" customWidth="1"/>
    <col min="2" max="2" width="13" customWidth="1"/>
    <col min="3" max="3" width="15" customWidth="1"/>
    <col min="4" max="4" width="13" customWidth="1"/>
    <col min="5" max="6" width="14" customWidth="1"/>
  </cols>
  <sheetData>
    <row r="1" spans="1:6" ht="21.75" customHeight="1" x14ac:dyDescent="0.5">
      <c r="A1" s="4" t="s">
        <v>174</v>
      </c>
      <c r="B1" s="4" t="s">
        <v>29</v>
      </c>
      <c r="C1" s="4" t="s">
        <v>175</v>
      </c>
      <c r="D1" s="4" t="s">
        <v>176</v>
      </c>
      <c r="E1" s="4" t="s">
        <v>177</v>
      </c>
      <c r="F1" s="4" t="s">
        <v>178</v>
      </c>
    </row>
    <row r="2" spans="1:6" x14ac:dyDescent="0.5">
      <c r="A2" s="5" t="s">
        <v>179</v>
      </c>
      <c r="B2" s="5" t="s">
        <v>38</v>
      </c>
      <c r="C2" s="8">
        <v>106215</v>
      </c>
      <c r="D2" s="8">
        <v>106397</v>
      </c>
      <c r="E2" s="9">
        <f t="shared" ref="E2:E26" si="0">C2-D2</f>
        <v>-182</v>
      </c>
      <c r="F2" s="5">
        <v>58</v>
      </c>
    </row>
    <row r="3" spans="1:6" x14ac:dyDescent="0.5">
      <c r="A3" s="5" t="s">
        <v>179</v>
      </c>
      <c r="B3" s="5" t="s">
        <v>97</v>
      </c>
      <c r="C3" s="8">
        <v>126355</v>
      </c>
      <c r="D3" s="8">
        <v>124972</v>
      </c>
      <c r="E3" s="9">
        <f t="shared" si="0"/>
        <v>1383</v>
      </c>
      <c r="F3" s="5">
        <v>81</v>
      </c>
    </row>
    <row r="4" spans="1:6" x14ac:dyDescent="0.5">
      <c r="A4" s="5" t="s">
        <v>179</v>
      </c>
      <c r="B4" s="5" t="s">
        <v>59</v>
      </c>
      <c r="C4" s="8">
        <v>101909</v>
      </c>
      <c r="D4" s="8">
        <v>106931</v>
      </c>
      <c r="E4" s="9">
        <f t="shared" si="0"/>
        <v>-5022</v>
      </c>
      <c r="F4" s="5">
        <v>137</v>
      </c>
    </row>
    <row r="5" spans="1:6" x14ac:dyDescent="0.5">
      <c r="A5" s="5" t="s">
        <v>179</v>
      </c>
      <c r="B5" s="5" t="s">
        <v>81</v>
      </c>
      <c r="C5" s="8">
        <v>144689</v>
      </c>
      <c r="D5" s="8">
        <v>151200</v>
      </c>
      <c r="E5" s="9">
        <f t="shared" si="0"/>
        <v>-6511</v>
      </c>
      <c r="F5" s="5">
        <v>84</v>
      </c>
    </row>
    <row r="6" spans="1:6" x14ac:dyDescent="0.5">
      <c r="A6" s="5" t="s">
        <v>179</v>
      </c>
      <c r="B6" s="5" t="s">
        <v>180</v>
      </c>
      <c r="C6" s="8">
        <v>87725</v>
      </c>
      <c r="D6" s="8">
        <v>92300</v>
      </c>
      <c r="E6" s="9">
        <f t="shared" si="0"/>
        <v>-4575</v>
      </c>
      <c r="F6" s="5">
        <v>49</v>
      </c>
    </row>
    <row r="7" spans="1:6" x14ac:dyDescent="0.5">
      <c r="A7" s="5" t="s">
        <v>181</v>
      </c>
      <c r="B7" s="5" t="s">
        <v>38</v>
      </c>
      <c r="C7" s="8">
        <v>104124</v>
      </c>
      <c r="D7" s="8">
        <v>106397</v>
      </c>
      <c r="E7" s="9">
        <f t="shared" si="0"/>
        <v>-2273</v>
      </c>
      <c r="F7" s="5">
        <v>56</v>
      </c>
    </row>
    <row r="8" spans="1:6" x14ac:dyDescent="0.5">
      <c r="A8" s="5" t="s">
        <v>181</v>
      </c>
      <c r="B8" s="5" t="s">
        <v>97</v>
      </c>
      <c r="C8" s="8">
        <v>127228</v>
      </c>
      <c r="D8" s="8">
        <v>124972</v>
      </c>
      <c r="E8" s="9">
        <f t="shared" si="0"/>
        <v>2256</v>
      </c>
      <c r="F8" s="5">
        <v>82</v>
      </c>
    </row>
    <row r="9" spans="1:6" x14ac:dyDescent="0.5">
      <c r="A9" s="5" t="s">
        <v>181</v>
      </c>
      <c r="B9" s="5" t="s">
        <v>59</v>
      </c>
      <c r="C9" s="8">
        <v>105147</v>
      </c>
      <c r="D9" s="8">
        <v>106931</v>
      </c>
      <c r="E9" s="9">
        <f t="shared" si="0"/>
        <v>-1784</v>
      </c>
      <c r="F9" s="5">
        <v>137</v>
      </c>
    </row>
    <row r="10" spans="1:6" x14ac:dyDescent="0.5">
      <c r="A10" s="5" t="s">
        <v>181</v>
      </c>
      <c r="B10" s="5" t="s">
        <v>81</v>
      </c>
      <c r="C10" s="8">
        <v>153681</v>
      </c>
      <c r="D10" s="8">
        <v>151200</v>
      </c>
      <c r="E10" s="9">
        <f t="shared" si="0"/>
        <v>2481</v>
      </c>
      <c r="F10" s="5">
        <v>84</v>
      </c>
    </row>
    <row r="11" spans="1:6" x14ac:dyDescent="0.5">
      <c r="A11" s="5" t="s">
        <v>181</v>
      </c>
      <c r="B11" s="5" t="s">
        <v>180</v>
      </c>
      <c r="C11" s="8">
        <v>88818</v>
      </c>
      <c r="D11" s="8">
        <v>92300</v>
      </c>
      <c r="E11" s="9">
        <f t="shared" si="0"/>
        <v>-3482</v>
      </c>
      <c r="F11" s="5">
        <v>40</v>
      </c>
    </row>
    <row r="12" spans="1:6" x14ac:dyDescent="0.5">
      <c r="A12" s="5" t="s">
        <v>182</v>
      </c>
      <c r="B12" s="5" t="s">
        <v>38</v>
      </c>
      <c r="C12" s="8">
        <v>112090</v>
      </c>
      <c r="D12" s="8">
        <v>106397</v>
      </c>
      <c r="E12" s="9">
        <f t="shared" si="0"/>
        <v>5693</v>
      </c>
      <c r="F12" s="5">
        <v>72</v>
      </c>
    </row>
    <row r="13" spans="1:6" x14ac:dyDescent="0.5">
      <c r="A13" s="5" t="s">
        <v>182</v>
      </c>
      <c r="B13" s="5" t="s">
        <v>97</v>
      </c>
      <c r="C13" s="8">
        <v>138792</v>
      </c>
      <c r="D13" s="8">
        <v>124972</v>
      </c>
      <c r="E13" s="9">
        <f t="shared" si="0"/>
        <v>13820</v>
      </c>
      <c r="F13" s="5">
        <v>98</v>
      </c>
    </row>
    <row r="14" spans="1:6" x14ac:dyDescent="0.5">
      <c r="A14" s="5" t="s">
        <v>182</v>
      </c>
      <c r="B14" s="5" t="s">
        <v>59</v>
      </c>
      <c r="C14" s="8">
        <v>111785</v>
      </c>
      <c r="D14" s="8">
        <v>106931</v>
      </c>
      <c r="E14" s="9">
        <f t="shared" si="0"/>
        <v>4854</v>
      </c>
      <c r="F14" s="5">
        <v>121</v>
      </c>
    </row>
    <row r="15" spans="1:6" x14ac:dyDescent="0.5">
      <c r="A15" s="5" t="s">
        <v>182</v>
      </c>
      <c r="B15" s="5" t="s">
        <v>81</v>
      </c>
      <c r="C15" s="8">
        <v>168697</v>
      </c>
      <c r="D15" s="8">
        <v>151200</v>
      </c>
      <c r="E15" s="9">
        <f t="shared" si="0"/>
        <v>17497</v>
      </c>
      <c r="F15" s="5">
        <v>67</v>
      </c>
    </row>
    <row r="16" spans="1:6" x14ac:dyDescent="0.5">
      <c r="A16" s="5" t="s">
        <v>182</v>
      </c>
      <c r="B16" s="5" t="s">
        <v>180</v>
      </c>
      <c r="C16" s="8">
        <v>96010</v>
      </c>
      <c r="D16" s="8">
        <v>92300</v>
      </c>
      <c r="E16" s="9">
        <f t="shared" si="0"/>
        <v>3710</v>
      </c>
      <c r="F16" s="5">
        <v>37</v>
      </c>
    </row>
    <row r="17" spans="1:6" x14ac:dyDescent="0.5">
      <c r="A17" s="5" t="s">
        <v>183</v>
      </c>
      <c r="B17" s="5" t="s">
        <v>38</v>
      </c>
      <c r="C17" s="8">
        <v>105559</v>
      </c>
      <c r="D17" s="8">
        <v>106397</v>
      </c>
      <c r="E17" s="9">
        <f t="shared" si="0"/>
        <v>-838</v>
      </c>
      <c r="F17" s="5">
        <v>58</v>
      </c>
    </row>
    <row r="18" spans="1:6" x14ac:dyDescent="0.5">
      <c r="A18" s="5" t="s">
        <v>183</v>
      </c>
      <c r="B18" s="5" t="s">
        <v>97</v>
      </c>
      <c r="C18" s="8">
        <v>129636</v>
      </c>
      <c r="D18" s="8">
        <v>124972</v>
      </c>
      <c r="E18" s="9">
        <f t="shared" si="0"/>
        <v>4664</v>
      </c>
      <c r="F18" s="5">
        <v>98</v>
      </c>
    </row>
    <row r="19" spans="1:6" x14ac:dyDescent="0.5">
      <c r="A19" s="5" t="s">
        <v>183</v>
      </c>
      <c r="B19" s="5" t="s">
        <v>59</v>
      </c>
      <c r="C19" s="8">
        <v>106452</v>
      </c>
      <c r="D19" s="8">
        <v>106931</v>
      </c>
      <c r="E19" s="9">
        <f t="shared" si="0"/>
        <v>-479</v>
      </c>
      <c r="F19" s="5">
        <v>141</v>
      </c>
    </row>
    <row r="20" spans="1:6" x14ac:dyDescent="0.5">
      <c r="A20" s="5" t="s">
        <v>183</v>
      </c>
      <c r="B20" s="5" t="s">
        <v>81</v>
      </c>
      <c r="C20" s="8">
        <v>147046</v>
      </c>
      <c r="D20" s="8">
        <v>151200</v>
      </c>
      <c r="E20" s="9">
        <f t="shared" si="0"/>
        <v>-4154</v>
      </c>
      <c r="F20" s="5">
        <v>84</v>
      </c>
    </row>
    <row r="21" spans="1:6" x14ac:dyDescent="0.5">
      <c r="A21" s="5" t="s">
        <v>183</v>
      </c>
      <c r="B21" s="5" t="s">
        <v>180</v>
      </c>
      <c r="C21" s="8">
        <v>96251</v>
      </c>
      <c r="D21" s="8">
        <v>92300</v>
      </c>
      <c r="E21" s="9">
        <f t="shared" si="0"/>
        <v>3951</v>
      </c>
      <c r="F21" s="5">
        <v>39</v>
      </c>
    </row>
    <row r="22" spans="1:6" x14ac:dyDescent="0.5">
      <c r="A22" s="5" t="s">
        <v>184</v>
      </c>
      <c r="B22" s="5" t="s">
        <v>38</v>
      </c>
      <c r="C22" s="8">
        <v>107145</v>
      </c>
      <c r="D22" s="8">
        <v>106397</v>
      </c>
      <c r="E22" s="9">
        <f t="shared" si="0"/>
        <v>748</v>
      </c>
      <c r="F22" s="5">
        <v>71</v>
      </c>
    </row>
    <row r="23" spans="1:6" x14ac:dyDescent="0.5">
      <c r="A23" s="5" t="s">
        <v>184</v>
      </c>
      <c r="B23" s="5" t="s">
        <v>97</v>
      </c>
      <c r="C23" s="8">
        <v>133492</v>
      </c>
      <c r="D23" s="8">
        <v>124972</v>
      </c>
      <c r="E23" s="9">
        <f t="shared" si="0"/>
        <v>8520</v>
      </c>
      <c r="F23" s="5">
        <v>98</v>
      </c>
    </row>
    <row r="24" spans="1:6" x14ac:dyDescent="0.5">
      <c r="A24" s="5" t="s">
        <v>184</v>
      </c>
      <c r="B24" s="5" t="s">
        <v>59</v>
      </c>
      <c r="C24" s="8">
        <v>101662</v>
      </c>
      <c r="D24" s="8">
        <v>106931</v>
      </c>
      <c r="E24" s="9">
        <f t="shared" si="0"/>
        <v>-5269</v>
      </c>
      <c r="F24" s="5">
        <v>126</v>
      </c>
    </row>
    <row r="25" spans="1:6" x14ac:dyDescent="0.5">
      <c r="A25" s="5" t="s">
        <v>184</v>
      </c>
      <c r="B25" s="5" t="s">
        <v>81</v>
      </c>
      <c r="C25" s="8">
        <v>155638</v>
      </c>
      <c r="D25" s="8">
        <v>151200</v>
      </c>
      <c r="E25" s="9">
        <f t="shared" si="0"/>
        <v>4438</v>
      </c>
      <c r="F25" s="5">
        <v>83</v>
      </c>
    </row>
    <row r="26" spans="1:6" x14ac:dyDescent="0.5">
      <c r="A26" s="5" t="s">
        <v>184</v>
      </c>
      <c r="B26" s="5" t="s">
        <v>180</v>
      </c>
      <c r="C26" s="8">
        <v>93866</v>
      </c>
      <c r="D26" s="8">
        <v>92300</v>
      </c>
      <c r="E26" s="9">
        <f t="shared" si="0"/>
        <v>1566</v>
      </c>
      <c r="F26" s="5">
        <v>43</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9"/>
  <sheetViews>
    <sheetView showGridLines="0" zoomScaleNormal="100" workbookViewId="0"/>
  </sheetViews>
  <sheetFormatPr defaultColWidth="8.703125" defaultRowHeight="14.35" x14ac:dyDescent="0.5"/>
  <cols>
    <col min="1" max="1" width="24" customWidth="1"/>
    <col min="2" max="2" width="14" customWidth="1"/>
    <col min="3" max="4" width="13" customWidth="1"/>
    <col min="5" max="5" width="15" customWidth="1"/>
    <col min="6" max="6" width="9" customWidth="1"/>
    <col min="7" max="7" width="12" customWidth="1"/>
    <col min="8" max="8" width="15" customWidth="1"/>
    <col min="9" max="9" width="13" customWidth="1"/>
    <col min="10" max="10" width="44" customWidth="1"/>
  </cols>
  <sheetData>
    <row r="1" spans="1:10" ht="21.75" customHeight="1" x14ac:dyDescent="0.5">
      <c r="A1" s="4" t="s">
        <v>23</v>
      </c>
      <c r="B1" s="4" t="s">
        <v>24</v>
      </c>
      <c r="C1" s="4" t="s">
        <v>25</v>
      </c>
      <c r="D1" s="4" t="s">
        <v>26</v>
      </c>
      <c r="E1" s="4" t="s">
        <v>27</v>
      </c>
      <c r="F1" s="4" t="s">
        <v>28</v>
      </c>
      <c r="G1" s="4" t="s">
        <v>29</v>
      </c>
      <c r="H1" s="4" t="s">
        <v>30</v>
      </c>
      <c r="I1" s="4" t="s">
        <v>31</v>
      </c>
      <c r="J1" s="4" t="s">
        <v>32</v>
      </c>
    </row>
    <row r="2" spans="1:10" x14ac:dyDescent="0.5">
      <c r="A2" s="5" t="s">
        <v>33</v>
      </c>
      <c r="B2" s="5" t="s">
        <v>34</v>
      </c>
      <c r="C2" s="10">
        <v>45296</v>
      </c>
      <c r="D2" s="10">
        <v>45326</v>
      </c>
      <c r="E2" s="7">
        <v>1250</v>
      </c>
      <c r="F2" s="5" t="s">
        <v>37</v>
      </c>
      <c r="G2" s="5" t="s">
        <v>38</v>
      </c>
      <c r="H2" s="5" t="s">
        <v>39</v>
      </c>
      <c r="I2" s="5" t="s">
        <v>40</v>
      </c>
      <c r="J2" s="6" t="s">
        <v>41</v>
      </c>
    </row>
    <row r="3" spans="1:10" x14ac:dyDescent="0.5">
      <c r="A3" s="5" t="s">
        <v>33</v>
      </c>
      <c r="B3" s="5" t="s">
        <v>43</v>
      </c>
      <c r="C3" s="10">
        <v>45298</v>
      </c>
      <c r="D3" s="10">
        <v>45328</v>
      </c>
      <c r="E3" s="7">
        <v>980.5</v>
      </c>
      <c r="F3" s="5" t="s">
        <v>37</v>
      </c>
      <c r="G3" s="5" t="s">
        <v>38</v>
      </c>
      <c r="H3" s="5" t="s">
        <v>39</v>
      </c>
      <c r="I3" s="5" t="s">
        <v>40</v>
      </c>
      <c r="J3" s="6" t="s">
        <v>185</v>
      </c>
    </row>
    <row r="4" spans="1:10" x14ac:dyDescent="0.5">
      <c r="A4" s="5" t="s">
        <v>33</v>
      </c>
      <c r="B4" s="5" t="s">
        <v>49</v>
      </c>
      <c r="C4" s="10">
        <v>45301</v>
      </c>
      <c r="D4" s="10">
        <v>45331</v>
      </c>
      <c r="E4" s="7">
        <v>1450</v>
      </c>
      <c r="F4" s="5" t="s">
        <v>37</v>
      </c>
      <c r="G4" s="5" t="s">
        <v>38</v>
      </c>
      <c r="H4" s="5" t="s">
        <v>70</v>
      </c>
      <c r="I4" s="5" t="s">
        <v>53</v>
      </c>
      <c r="J4" s="6" t="s">
        <v>186</v>
      </c>
    </row>
    <row r="5" spans="1:10" x14ac:dyDescent="0.5">
      <c r="A5" s="5" t="s">
        <v>62</v>
      </c>
      <c r="B5" s="5" t="s">
        <v>56</v>
      </c>
      <c r="C5" s="10">
        <v>45303</v>
      </c>
      <c r="D5" s="10">
        <v>45333</v>
      </c>
      <c r="E5" s="7">
        <v>3300</v>
      </c>
      <c r="F5" s="5" t="s">
        <v>37</v>
      </c>
      <c r="G5" s="5" t="s">
        <v>59</v>
      </c>
      <c r="H5" s="5" t="s">
        <v>39</v>
      </c>
      <c r="I5" s="5" t="s">
        <v>40</v>
      </c>
      <c r="J5" s="6" t="s">
        <v>61</v>
      </c>
    </row>
    <row r="6" spans="1:10" x14ac:dyDescent="0.5">
      <c r="A6" s="5" t="s">
        <v>66</v>
      </c>
      <c r="B6" s="5" t="s">
        <v>67</v>
      </c>
      <c r="C6" s="10">
        <v>45309</v>
      </c>
      <c r="D6" s="10">
        <v>45339</v>
      </c>
      <c r="E6" s="7">
        <v>212.75</v>
      </c>
      <c r="F6" s="5" t="s">
        <v>37</v>
      </c>
      <c r="G6" s="5" t="s">
        <v>38</v>
      </c>
      <c r="H6" s="5" t="s">
        <v>70</v>
      </c>
      <c r="I6" s="5" t="s">
        <v>53</v>
      </c>
      <c r="J6" s="6" t="s">
        <v>71</v>
      </c>
    </row>
    <row r="7" spans="1:10" x14ac:dyDescent="0.5">
      <c r="A7" s="5" t="s">
        <v>66</v>
      </c>
      <c r="B7" s="5" t="s">
        <v>73</v>
      </c>
      <c r="C7" s="10">
        <v>45313</v>
      </c>
      <c r="D7" s="10">
        <v>45343</v>
      </c>
      <c r="E7" s="7"/>
      <c r="F7" s="5" t="s">
        <v>37</v>
      </c>
      <c r="G7" s="5" t="s">
        <v>38</v>
      </c>
      <c r="H7" s="5" t="s">
        <v>70</v>
      </c>
      <c r="I7" s="5" t="s">
        <v>53</v>
      </c>
      <c r="J7" s="6" t="s">
        <v>187</v>
      </c>
    </row>
    <row r="8" spans="1:10" x14ac:dyDescent="0.5">
      <c r="A8" s="5" t="s">
        <v>83</v>
      </c>
      <c r="B8" s="5" t="s">
        <v>78</v>
      </c>
      <c r="C8" s="10">
        <v>45323</v>
      </c>
      <c r="D8" s="10">
        <v>45353</v>
      </c>
      <c r="E8" s="7">
        <v>8160.94</v>
      </c>
      <c r="F8" s="5" t="s">
        <v>37</v>
      </c>
      <c r="G8" s="5" t="s">
        <v>81</v>
      </c>
      <c r="H8" s="5" t="s">
        <v>70</v>
      </c>
      <c r="I8" s="5" t="s">
        <v>40</v>
      </c>
      <c r="J8" s="6" t="s">
        <v>82</v>
      </c>
    </row>
    <row r="9" spans="1:10" x14ac:dyDescent="0.5">
      <c r="A9" s="5" t="s">
        <v>83</v>
      </c>
      <c r="B9" s="5" t="s">
        <v>84</v>
      </c>
      <c r="C9" s="10">
        <v>45325</v>
      </c>
      <c r="D9" s="10">
        <v>45355</v>
      </c>
      <c r="E9" s="7">
        <v>-450</v>
      </c>
      <c r="F9" s="5" t="s">
        <v>37</v>
      </c>
      <c r="G9" s="5" t="s">
        <v>81</v>
      </c>
      <c r="H9" s="5" t="s">
        <v>70</v>
      </c>
      <c r="I9" s="5" t="s">
        <v>40</v>
      </c>
      <c r="J9" s="6" t="s">
        <v>87</v>
      </c>
    </row>
    <row r="10" spans="1:10" x14ac:dyDescent="0.5">
      <c r="A10" s="5" t="s">
        <v>88</v>
      </c>
      <c r="B10" s="5" t="s">
        <v>89</v>
      </c>
      <c r="C10" s="10">
        <v>45327</v>
      </c>
      <c r="D10" s="10">
        <v>45357</v>
      </c>
      <c r="E10" s="7">
        <v>1725</v>
      </c>
      <c r="F10" s="5" t="s">
        <v>92</v>
      </c>
      <c r="G10" s="5" t="s">
        <v>59</v>
      </c>
      <c r="H10" s="5" t="s">
        <v>70</v>
      </c>
      <c r="I10" s="5" t="s">
        <v>53</v>
      </c>
      <c r="J10" s="6" t="s">
        <v>93</v>
      </c>
    </row>
    <row r="11" spans="1:10" x14ac:dyDescent="0.5">
      <c r="A11" s="5" t="s">
        <v>99</v>
      </c>
      <c r="B11" s="5" t="s">
        <v>95</v>
      </c>
      <c r="C11" s="10">
        <v>45331</v>
      </c>
      <c r="D11" s="10">
        <v>45361</v>
      </c>
      <c r="E11" s="7">
        <v>640</v>
      </c>
      <c r="F11" s="5" t="s">
        <v>37</v>
      </c>
      <c r="G11" s="5" t="s">
        <v>97</v>
      </c>
      <c r="H11" s="5" t="s">
        <v>70</v>
      </c>
      <c r="I11" s="5" t="s">
        <v>40</v>
      </c>
      <c r="J11" s="6" t="s">
        <v>98</v>
      </c>
    </row>
    <row r="12" spans="1:10" x14ac:dyDescent="0.5">
      <c r="A12" s="5" t="s">
        <v>99</v>
      </c>
      <c r="B12" s="5" t="s">
        <v>100</v>
      </c>
      <c r="C12" s="10">
        <v>45334</v>
      </c>
      <c r="D12" s="10">
        <v>45364</v>
      </c>
      <c r="E12" s="7">
        <v>640</v>
      </c>
      <c r="F12" s="5" t="s">
        <v>37</v>
      </c>
      <c r="G12" s="5" t="s">
        <v>97</v>
      </c>
      <c r="H12" s="5" t="s">
        <v>70</v>
      </c>
      <c r="I12" s="5" t="s">
        <v>40</v>
      </c>
      <c r="J12" s="6" t="s">
        <v>188</v>
      </c>
    </row>
    <row r="13" spans="1:10" x14ac:dyDescent="0.5">
      <c r="A13" s="5" t="s">
        <v>105</v>
      </c>
      <c r="B13" s="5" t="s">
        <v>106</v>
      </c>
      <c r="C13" s="10">
        <v>45337</v>
      </c>
      <c r="D13" s="10">
        <v>45367</v>
      </c>
      <c r="E13" s="7">
        <v>12750</v>
      </c>
      <c r="F13" s="5" t="s">
        <v>37</v>
      </c>
      <c r="G13" s="5" t="s">
        <v>81</v>
      </c>
      <c r="H13" s="5" t="s">
        <v>70</v>
      </c>
      <c r="I13" s="5" t="s">
        <v>40</v>
      </c>
      <c r="J13" s="6" t="s">
        <v>109</v>
      </c>
    </row>
    <row r="14" spans="1:10" x14ac:dyDescent="0.5">
      <c r="A14" s="5" t="s">
        <v>110</v>
      </c>
      <c r="B14" s="5" t="s">
        <v>111</v>
      </c>
      <c r="C14" s="10">
        <v>45340</v>
      </c>
      <c r="D14" s="10">
        <v>45370</v>
      </c>
      <c r="E14" s="7">
        <v>2980.4</v>
      </c>
      <c r="F14" s="5" t="s">
        <v>37</v>
      </c>
      <c r="G14" s="5" t="s">
        <v>81</v>
      </c>
      <c r="H14" s="5" t="s">
        <v>70</v>
      </c>
      <c r="I14" s="5" t="s">
        <v>53</v>
      </c>
      <c r="J14" s="6" t="s">
        <v>114</v>
      </c>
    </row>
    <row r="15" spans="1:10" x14ac:dyDescent="0.5">
      <c r="A15" s="5" t="s">
        <v>115</v>
      </c>
      <c r="B15" s="5" t="s">
        <v>116</v>
      </c>
      <c r="C15" s="10">
        <v>45342</v>
      </c>
      <c r="D15" s="10">
        <v>45372</v>
      </c>
      <c r="E15" s="7">
        <v>415.6</v>
      </c>
      <c r="F15" s="5" t="s">
        <v>37</v>
      </c>
      <c r="G15" s="5" t="s">
        <v>97</v>
      </c>
      <c r="H15" s="5" t="s">
        <v>70</v>
      </c>
      <c r="I15" s="5" t="s">
        <v>40</v>
      </c>
      <c r="J15" s="6" t="s">
        <v>119</v>
      </c>
    </row>
    <row r="16" spans="1:10" x14ac:dyDescent="0.5">
      <c r="A16" s="5" t="s">
        <v>33</v>
      </c>
      <c r="B16" s="5" t="s">
        <v>120</v>
      </c>
      <c r="C16" s="10">
        <v>45344</v>
      </c>
      <c r="D16" s="10">
        <v>45374</v>
      </c>
      <c r="E16" s="7">
        <v>1250</v>
      </c>
      <c r="F16" s="5" t="s">
        <v>37</v>
      </c>
      <c r="G16" s="5" t="s">
        <v>38</v>
      </c>
      <c r="H16" s="5" t="s">
        <v>70</v>
      </c>
      <c r="I16" s="5" t="s">
        <v>40</v>
      </c>
      <c r="J16" s="6" t="s">
        <v>124</v>
      </c>
    </row>
    <row r="17" spans="1:10" x14ac:dyDescent="0.5">
      <c r="A17" s="5" t="s">
        <v>125</v>
      </c>
      <c r="B17" s="5" t="s">
        <v>126</v>
      </c>
      <c r="C17" s="10">
        <v>45347</v>
      </c>
      <c r="D17" s="10">
        <v>45377</v>
      </c>
      <c r="E17" s="7">
        <v>5400</v>
      </c>
      <c r="F17" s="5" t="s">
        <v>37</v>
      </c>
      <c r="G17" s="5" t="s">
        <v>59</v>
      </c>
      <c r="H17" s="5" t="s">
        <v>70</v>
      </c>
      <c r="I17" s="5" t="s">
        <v>53</v>
      </c>
      <c r="J17" s="6" t="s">
        <v>129</v>
      </c>
    </row>
    <row r="19" spans="1:10" ht="23.85" customHeight="1" x14ac:dyDescent="0.5">
      <c r="A19" s="1" t="s">
        <v>189</v>
      </c>
      <c r="B19" s="1"/>
      <c r="C19" s="1"/>
      <c r="D19" s="1"/>
      <c r="E19" s="1"/>
      <c r="F19" s="1"/>
      <c r="G19" s="1"/>
      <c r="H19" s="1"/>
      <c r="I19" s="1"/>
      <c r="J19" s="1"/>
    </row>
  </sheetData>
  <mergeCells count="1">
    <mergeCell ref="A19:J1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InvoiceRegister</vt:lpstr>
      <vt:lpstr>ExpenseMemos</vt:lpstr>
      <vt:lpstr>COPILOT_Formulas</vt:lpstr>
      <vt:lpstr>APMonthly</vt:lpstr>
      <vt:lpstr>InvoiceRegister_Clean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George Mount</cp:lastModifiedBy>
  <cp:revision>0</cp:revision>
  <dcterms:created xsi:type="dcterms:W3CDTF">2026-07-13T20:11:57Z</dcterms:created>
  <dcterms:modified xsi:type="dcterms:W3CDTF">2026-07-14T13:13:50Z</dcterms:modified>
  <dc:language>en-US</dc:language>
</cp:coreProperties>
</file>