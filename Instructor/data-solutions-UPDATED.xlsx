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oiceRegister" sheetId="2" state="visible" r:id="rId4"/>
    <sheet name="ExpenseMemos" sheetId="3" state="visible" r:id="rId5"/>
    <sheet name="APMonthly" sheetId="4" state="visible" r:id="rId6"/>
    <sheet name="InvoiceRegister_Clean" sheetId="5" state="visible" r:id="rId7"/>
    <sheet name="ExpenseMemos_Extracted" sheetId="6" state="visible" r:id="rId8"/>
    <sheet name="COPILOT_Formul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<sst xmlns="http://schemas.openxmlformats.org/spreadsheetml/2006/main" count="564" uniqueCount="251">
  <si>
    <t xml:space="preserve">AI in Excel for Finance &amp; Accounting Teams</t>
  </si>
  <si>
    <t xml:space="preserve">Solution / answer-key workbook</t>
  </si>
  <si>
    <t xml:space="preserve">Sheet</t>
  </si>
  <si>
    <t xml:space="preserve">Used in</t>
  </si>
  <si>
    <t xml:space="preserve">What it is</t>
  </si>
  <si>
    <t xml:space="preserve">InvoiceRegister</t>
  </si>
  <si>
    <t xml:space="preserve">Part 2 - Copilot in Excel, live</t>
  </si>
  <si>
    <t xml:space="preserve">Messy AP invoice export: inconsistent vendor names, mixed date formats, duplicates, a missing amount, a credit memo. Practice cleaning, formula-building, and summarizing.</t>
  </si>
  <si>
    <t xml:space="preserve">ExpenseMemos</t>
  </si>
  <si>
    <t xml:space="preserve">Part 3 - The new AI functions</t>
  </si>
  <si>
    <t xml:space="preserve">Free-text expense/purchase memos. Use the COPILOT() function to pull structure (category, vendor, amount, policy flag) out of the prose.</t>
  </si>
  <si>
    <t xml:space="preserve">APMonthly</t>
  </si>
  <si>
    <t xml:space="preserve">Parts 2 &amp; 4 - summarize / guardrails</t>
  </si>
  <si>
    <t xml:space="preserve">Monthly actual vs. budget by cost center. Practice summarizing and variance review - and checking the AI's math against the grid.</t>
  </si>
  <si>
    <t xml:space="preserve">InvoiceRegister_Clean</t>
  </si>
  <si>
    <t xml:space="preserve">Part 2 - answer key</t>
  </si>
  <si>
    <t xml:space="preserve">Standardized version of InvoiceRegister after cleaning.</t>
  </si>
  <si>
    <t xml:space="preserve">ExpenseMemos_Extracted</t>
  </si>
  <si>
    <t xml:space="preserve">Part 3 - answer key</t>
  </si>
  <si>
    <t xml:space="preserve">The memos with structured columns filled in, the way COPILOT() should return them.</t>
  </si>
  <si>
    <t xml:space="preserve">COPILOT_Formulas</t>
  </si>
  <si>
    <t xml:space="preserve">Reference</t>
  </si>
  <si>
    <t xml:space="preserve">Copy-paste COPILOT() formulas for each demo, with notes on what to review.</t>
  </si>
  <si>
    <t xml:space="preserve">Vendor Name</t>
  </si>
  <si>
    <t xml:space="preserve">Invoice Number</t>
  </si>
  <si>
    <t xml:space="preserve">Invoice Date</t>
  </si>
  <si>
    <t xml:space="preserve">Due Date</t>
  </si>
  <si>
    <t xml:space="preserve">Invoice Amount</t>
  </si>
  <si>
    <t xml:space="preserve">Currency</t>
  </si>
  <si>
    <t xml:space="preserve">Cost Center</t>
  </si>
  <si>
    <t xml:space="preserve">Payment Status</t>
  </si>
  <si>
    <t xml:space="preserve">Source System</t>
  </si>
  <si>
    <t xml:space="preserve">Line Description</t>
  </si>
  <si>
    <t xml:space="preserve">Acme Systems</t>
  </si>
  <si>
    <t xml:space="preserve">INV-1001</t>
  </si>
  <si>
    <t xml:space="preserve">2024-01-05</t>
  </si>
  <si>
    <t xml:space="preserve">2024-02-04</t>
  </si>
  <si>
    <t xml:space="preserve">USD</t>
  </si>
  <si>
    <t xml:space="preserve">FIN-100</t>
  </si>
  <si>
    <t xml:space="preserve">Paid</t>
  </si>
  <si>
    <t xml:space="preserve">ERP_A</t>
  </si>
  <si>
    <t xml:space="preserve">Monthly SaaS platform subscription - Jan</t>
  </si>
  <si>
    <t xml:space="preserve">ACME systems</t>
  </si>
  <si>
    <t xml:space="preserve">INV-1002</t>
  </si>
  <si>
    <t xml:space="preserve">1/7/2024</t>
  </si>
  <si>
    <t xml:space="preserve">2024-02-06</t>
  </si>
  <si>
    <t xml:space="preserve">usd</t>
  </si>
  <si>
    <t xml:space="preserve">platform subscription (jan, prorated)</t>
  </si>
  <si>
    <t xml:space="preserve">Acme  Systems</t>
  </si>
  <si>
    <t xml:space="preserve">INV-1003</t>
  </si>
  <si>
    <t xml:space="preserve">2024-01-10</t>
  </si>
  <si>
    <t xml:space="preserve">2024-02-09</t>
  </si>
  <si>
    <t xml:space="preserve">OPEN</t>
  </si>
  <si>
    <t xml:space="preserve">ERP_B</t>
  </si>
  <si>
    <t xml:space="preserve">Add'l user seats x5</t>
  </si>
  <si>
    <t xml:space="preserve">Northwind Tech</t>
  </si>
  <si>
    <t xml:space="preserve">INV-2201</t>
  </si>
  <si>
    <t xml:space="preserve">2024-01-12</t>
  </si>
  <si>
    <t xml:space="preserve">02/11/2024</t>
  </si>
  <si>
    <t xml:space="preserve">IT-300</t>
  </si>
  <si>
    <t xml:space="preserve">paid </t>
  </si>
  <si>
    <t xml:space="preserve">Network switch replacement + install</t>
  </si>
  <si>
    <t xml:space="preserve">Northwind Technologies</t>
  </si>
  <si>
    <t xml:space="preserve">INV-2202</t>
  </si>
  <si>
    <t xml:space="preserve">2024-01-15</t>
  </si>
  <si>
    <t xml:space="preserve">2024-02-14</t>
  </si>
  <si>
    <t xml:space="preserve">PaperTrail Office</t>
  </si>
  <si>
    <t xml:space="preserve">INV-5540</t>
  </si>
  <si>
    <t xml:space="preserve">2024-01-18</t>
  </si>
  <si>
    <t xml:space="preserve">2024-02-17</t>
  </si>
  <si>
    <t xml:space="preserve">Open</t>
  </si>
  <si>
    <t xml:space="preserve">Check printer toner, remittance stock</t>
  </si>
  <si>
    <t xml:space="preserve">papertrail office </t>
  </si>
  <si>
    <t xml:space="preserve">INV-5541</t>
  </si>
  <si>
    <t xml:space="preserve">2024-01-22</t>
  </si>
  <si>
    <t xml:space="preserve">2024-02-21</t>
  </si>
  <si>
    <t xml:space="preserve">Office supplies - see attached</t>
  </si>
  <si>
    <t xml:space="preserve">Globex Corp</t>
  </si>
  <si>
    <t xml:space="preserve">INV-7781</t>
  </si>
  <si>
    <t xml:space="preserve">2024-02-01</t>
  </si>
  <si>
    <t xml:space="preserve">2024-03-02</t>
  </si>
  <si>
    <t xml:space="preserve">OPS-400</t>
  </si>
  <si>
    <t xml:space="preserve">Consulting - process review (40 hrs)</t>
  </si>
  <si>
    <t xml:space="preserve">Globex Corporation</t>
  </si>
  <si>
    <t xml:space="preserve">INV-7782</t>
  </si>
  <si>
    <t xml:space="preserve">2024-02-03</t>
  </si>
  <si>
    <t xml:space="preserve">2024-03-04</t>
  </si>
  <si>
    <t xml:space="preserve">Credit memo - overbilled hours</t>
  </si>
  <si>
    <t xml:space="preserve">Initech</t>
  </si>
  <si>
    <t xml:space="preserve">INV-3310</t>
  </si>
  <si>
    <t xml:space="preserve">2024-02-05</t>
  </si>
  <si>
    <t xml:space="preserve">2024-03-06</t>
  </si>
  <si>
    <t xml:space="preserve">EUR</t>
  </si>
  <si>
    <t xml:space="preserve">Software license renewal (EU entity)</t>
  </si>
  <si>
    <t xml:space="preserve">Umbrella Supply</t>
  </si>
  <si>
    <t xml:space="preserve">INV-9001</t>
  </si>
  <si>
    <t xml:space="preserve">3/10/2024</t>
  </si>
  <si>
    <t xml:space="preserve">HR-200</t>
  </si>
  <si>
    <t xml:space="preserve">Onboarding kits for new hires</t>
  </si>
  <si>
    <t xml:space="preserve">Umbrella Supply Co.</t>
  </si>
  <si>
    <t xml:space="preserve">INV-9002</t>
  </si>
  <si>
    <t xml:space="preserve">2024-02-12</t>
  </si>
  <si>
    <t xml:space="preserve">2024-03-13</t>
  </si>
  <si>
    <t xml:space="preserve">hr-200</t>
  </si>
  <si>
    <t xml:space="preserve">onboarding kits (2nd batch)</t>
  </si>
  <si>
    <t xml:space="preserve">Stark Industrial</t>
  </si>
  <si>
    <t xml:space="preserve">INV-4402</t>
  </si>
  <si>
    <t xml:space="preserve">2024-02-15</t>
  </si>
  <si>
    <t xml:space="preserve">2024-03-16</t>
  </si>
  <si>
    <t xml:space="preserve">Equipment lease - Q1</t>
  </si>
  <si>
    <t xml:space="preserve">Wayne Logistics</t>
  </si>
  <si>
    <t xml:space="preserve">INV-6650</t>
  </si>
  <si>
    <t xml:space="preserve">2024-02-18</t>
  </si>
  <si>
    <t xml:space="preserve">2024-03-19</t>
  </si>
  <si>
    <t xml:space="preserve">Freight &amp; handling, inbound</t>
  </si>
  <si>
    <t xml:space="preserve">Wonka Foods</t>
  </si>
  <si>
    <t xml:space="preserve">INV-8123</t>
  </si>
  <si>
    <t xml:space="preserve">2024-02-20</t>
  </si>
  <si>
    <t xml:space="preserve">2024-03-21</t>
  </si>
  <si>
    <t xml:space="preserve">Catering - all-hands meeting</t>
  </si>
  <si>
    <t xml:space="preserve">INV-1004</t>
  </si>
  <si>
    <t xml:space="preserve">2024-02-22</t>
  </si>
  <si>
    <t xml:space="preserve">2024-03-23</t>
  </si>
  <si>
    <t xml:space="preserve">open</t>
  </si>
  <si>
    <t xml:space="preserve">Monthly SaaS platform subscription - Feb</t>
  </si>
  <si>
    <t xml:space="preserve">Cyberdyne LLC</t>
  </si>
  <si>
    <t xml:space="preserve">INV-7788</t>
  </si>
  <si>
    <t xml:space="preserve">2024-02-25</t>
  </si>
  <si>
    <t xml:space="preserve">2024-03-26</t>
  </si>
  <si>
    <t xml:space="preserve">Annual security audit retainer</t>
  </si>
  <si>
    <t xml:space="preserve">Memo ID</t>
  </si>
  <si>
    <t xml:space="preserve">Submitter</t>
  </si>
  <si>
    <t xml:space="preserve">Raw Memo</t>
  </si>
  <si>
    <t xml:space="preserve">Category</t>
  </si>
  <si>
    <t xml:space="preserve">Vendor</t>
  </si>
  <si>
    <t xml:space="preserve">Amount (USD)</t>
  </si>
  <si>
    <t xml:space="preserve">Policy Flag</t>
  </si>
  <si>
    <t xml:space="preserve">Urgency</t>
  </si>
  <si>
    <t xml:space="preserve">EM-01</t>
  </si>
  <si>
    <t xml:space="preserve">J. Ruiz</t>
  </si>
  <si>
    <t xml:space="preserve">Lunch w/ Contoso AP team while onsite in Chicago - 4 of us, ~$182 on the corporate card. Was closing out the Q1 recon.</t>
  </si>
  <si>
    <t xml:space="preserve">EM-02</t>
  </si>
  <si>
    <t xml:space="preserve">T. Okafor</t>
  </si>
  <si>
    <t xml:space="preserve">Ubers to and from the vendor site on 3/14, about $47 total. Meter was running in traffic, sorry.</t>
  </si>
  <si>
    <t xml:space="preserve">EM-03</t>
  </si>
  <si>
    <t xml:space="preserve">A. Patel</t>
  </si>
  <si>
    <t xml:space="preserve">Annual renewal for DocuSign, invoice attached, $9,600 for the year. Finance already approved the budget line.</t>
  </si>
  <si>
    <t xml:space="preserve">EM-04</t>
  </si>
  <si>
    <t xml:space="preserve">M. Chen</t>
  </si>
  <si>
    <t xml:space="preserve">Bought 2 monitors for the new AP clerk from Best Buy, 329.98 each. Needed them before she starts Monday.</t>
  </si>
  <si>
    <t xml:space="preserve">EM-05</t>
  </si>
  <si>
    <t xml:space="preserve">Dinner with the external auditors - 6 people, came to 540 and change. Steakhouse near the office, they insisted.</t>
  </si>
  <si>
    <t xml:space="preserve">EM-06</t>
  </si>
  <si>
    <t xml:space="preserve">S. Delgado</t>
  </si>
  <si>
    <t xml:space="preserve">Flights to the SAP user conference in Orlando, $612 round trip on Delta. Hotel booked separately.</t>
  </si>
  <si>
    <t xml:space="preserve">EM-07</t>
  </si>
  <si>
    <t xml:space="preserve">Coffee and pastries for the month-end close war room, $88 from the place downstairs. Team was here till 9.</t>
  </si>
  <si>
    <t xml:space="preserve">EM-08</t>
  </si>
  <si>
    <t xml:space="preserve">Replaced the check printer toner, Staples, $214.50. Old cartridge was streaking on the remittance stubs.</t>
  </si>
  <si>
    <t xml:space="preserve">EM-09</t>
  </si>
  <si>
    <t xml:space="preserve">Petty cash reimbursement - parking at the county recorder's office, $35, filing the lien release.</t>
  </si>
  <si>
    <t xml:space="preserve">EM-10</t>
  </si>
  <si>
    <t xml:space="preserve">Zoom Business annual, 1,999.90. We went over seat count again, might need to true-up.</t>
  </si>
  <si>
    <t xml:space="preserve">EM-11</t>
  </si>
  <si>
    <t xml:space="preserve">Client gift baskets for our top 5 vendors at year-end, $500 total from Harry &amp; David. Per the relationship team.</t>
  </si>
  <si>
    <t xml:space="preserve">EM-12</t>
  </si>
  <si>
    <t xml:space="preserve">Some AI note-taker thing the team wanted to trial, $29/mo, put it on my card for now.</t>
  </si>
  <si>
    <t xml:space="preserve">EM-13</t>
  </si>
  <si>
    <t xml:space="preserve">Mileage - drove to the bank to deposit the wire confirmation docs, 22 miles round trip.</t>
  </si>
  <si>
    <t xml:space="preserve">EM-14</t>
  </si>
  <si>
    <t xml:space="preserve">Overnight FedEx of the signed W-9s to a new vendor, $58. They needed originals before we could pay them.</t>
  </si>
  <si>
    <t xml:space="preserve">EM-15</t>
  </si>
  <si>
    <t xml:space="preserve">Team offsite lunch, roughly $300 for 10, but I didn't get an itemized receipt - just the card slip.</t>
  </si>
  <si>
    <t xml:space="preserve">Fill columns D-H with the COPILOT() function - see the Prompt Cheat-Sheet.</t>
  </si>
  <si>
    <t xml:space="preserve">Month</t>
  </si>
  <si>
    <t xml:space="preserve">Actual Spend</t>
  </si>
  <si>
    <t xml:space="preserve">Budget</t>
  </si>
  <si>
    <t xml:space="preserve">Variance</t>
  </si>
  <si>
    <t xml:space="preserve">Invoice Count</t>
  </si>
  <si>
    <t xml:space="preserve">2024-01</t>
  </si>
  <si>
    <t xml:space="preserve">MKT-500</t>
  </si>
  <si>
    <t xml:space="preserve">2024-02</t>
  </si>
  <si>
    <t xml:space="preserve">2024-03</t>
  </si>
  <si>
    <t xml:space="preserve">2024-04</t>
  </si>
  <si>
    <t xml:space="preserve">2024-05</t>
  </si>
  <si>
    <t xml:space="preserve">Platform subscription (Jan, prorated)</t>
  </si>
  <si>
    <t xml:space="preserve">Additional user seats x5</t>
  </si>
  <si>
    <t xml:space="preserve">Office supplies - see attached (amount missing)</t>
  </si>
  <si>
    <t xml:space="preserve">Onboarding kits (2nd batch)</t>
  </si>
  <si>
    <t xml:space="preserve">Cleaning applied: standardized vendor names &amp; casing, real dates, removed exact duplicate (INV-3310), flagged missing amount (INV-5541) and credit memo (INV-7782). Human review still required before payment.</t>
  </si>
  <si>
    <t xml:space="preserve">Meals &amp; Entertainment</t>
  </si>
  <si>
    <t xml:space="preserve">Corporate card / Chicago</t>
  </si>
  <si>
    <t xml:space="preserve">OK - $45.50/head under $75 meal limit (policy 2); itemized receipt required (policy 1)</t>
  </si>
  <si>
    <t xml:space="preserve">Normal</t>
  </si>
  <si>
    <t xml:space="preserve">Travel - Ground</t>
  </si>
  <si>
    <t xml:space="preserve">Uber</t>
  </si>
  <si>
    <t xml:space="preserve">Itemized receipt required over $25 (policy 1)</t>
  </si>
  <si>
    <t xml:space="preserve">Software - Subscription</t>
  </si>
  <si>
    <t xml:space="preserve">DocuSign</t>
  </si>
  <si>
    <t xml:space="preserve">OK - pre-approved (policy 5)</t>
  </si>
  <si>
    <t xml:space="preserve">Equipment</t>
  </si>
  <si>
    <t xml:space="preserve">Best Buy</t>
  </si>
  <si>
    <t xml:space="preserve">Under $2,500 capitalization threshold - expense OK (policy 6)</t>
  </si>
  <si>
    <t xml:space="preserve">High (needed Monday)</t>
  </si>
  <si>
    <t xml:space="preserve">Steakhouse (auditors)</t>
  </si>
  <si>
    <t xml:space="preserve">Over $75/head meal limit at $90/head (policy 2); auditor independence - flag</t>
  </si>
  <si>
    <t xml:space="preserve">Travel - Airfare</t>
  </si>
  <si>
    <t xml:space="preserve">Delta</t>
  </si>
  <si>
    <t xml:space="preserve">OK - economy airfare (policy 4)</t>
  </si>
  <si>
    <t xml:space="preserve">Downstairs cafe</t>
  </si>
  <si>
    <t xml:space="preserve">OK - team meal</t>
  </si>
  <si>
    <t xml:space="preserve">Office Supplies</t>
  </si>
  <si>
    <t xml:space="preserve">Staples</t>
  </si>
  <si>
    <t xml:space="preserve">OK</t>
  </si>
  <si>
    <t xml:space="preserve">Petty Cash / Fees</t>
  </si>
  <si>
    <t xml:space="preserve">County recorder</t>
  </si>
  <si>
    <t xml:space="preserve">Zoom</t>
  </si>
  <si>
    <t xml:space="preserve">Seat true-up needs pre-approval before renewal (policy 5)</t>
  </si>
  <si>
    <t xml:space="preserve">Medium</t>
  </si>
  <si>
    <t xml:space="preserve">Gifts</t>
  </si>
  <si>
    <t xml:space="preserve">Harry &amp; David</t>
  </si>
  <si>
    <t xml:space="preserve">Exceeds $100/vendor gift limit (policy 3)</t>
  </si>
  <si>
    <t xml:space="preserve">(unnamed AI tool)</t>
  </si>
  <si>
    <t xml:space="preserve">Unapproved / shadow-IT vendor - review (policy 5)</t>
  </si>
  <si>
    <t xml:space="preserve">Mileage</t>
  </si>
  <si>
    <t xml:space="preserve">Personal vehicle</t>
  </si>
  <si>
    <t xml:space="preserve">(22 mi x rate)</t>
  </si>
  <si>
    <t xml:space="preserve">Reimburse at IRS standard mileage rate (policy 7)</t>
  </si>
  <si>
    <t xml:space="preserve">Postage &amp; Shipping</t>
  </si>
  <si>
    <t xml:space="preserve">FedEx</t>
  </si>
  <si>
    <t xml:space="preserve">Offsite lunch venue</t>
  </si>
  <si>
    <t xml:space="preserve">Missing itemized receipt required over $25 (policy 1)</t>
  </si>
  <si>
    <t xml:space="preserve">These are example COPILOT() outputs. The function is probabilistic - always review Category, Amount, and Policy Flag before acting. Amounts should be confirmed against receipts.</t>
  </si>
  <si>
    <t xml:space="preserve">Reference: COPILOT() formulas used in Part 3</t>
  </si>
  <si>
    <t xml:space="preserve">Goal</t>
  </si>
  <si>
    <t xml:space="preserve">Formula (paste into ExpenseMemos)</t>
  </si>
  <si>
    <t xml:space="preserve">Review before trusting</t>
  </si>
  <si>
    <t xml:space="preserve">=COPILOT("Classify this expense memo into one of: Meals &amp; Entertainment, Travel - Airfare, Travel - Ground, Software - Subscription, Equipment, Office Supplies, Mileage, Postage &amp; Shipping, Gifts, Petty Cash / Fees. Return only the category.", C2)</t>
  </si>
  <si>
    <t xml:space="preserve">Spot-check edge cases; the list constrains the answer.</t>
  </si>
  <si>
    <t xml:space="preserve">=COPILOT("Extract the vendor or merchant named in this memo. If none is named, return 'Not stated'.", C2)</t>
  </si>
  <si>
    <t xml:space="preserve">Watch for guessed vendors when none is named.</t>
  </si>
  <si>
    <t xml:space="preserve">=COPILOT("Extract the total US dollar amount as a number only, no symbols. If a per-unit price and quantity are given, multiply them. If no amount, return blank.", C2)</t>
  </si>
  <si>
    <t xml:space="preserve">AI is not a calculator - confirm math and totals against receipts.</t>
  </si>
  <si>
    <t xml:space="preserve">=COPILOT("Using these limits: itemized receipt required over $25; meals up to $75 per person; gifts up to $100 per vendor; capitalize items of $2,500 or more; approved vendors only. Flag any expense-policy concerns in this memo. If none, return 'OK'.", C2)</t>
  </si>
  <si>
    <t xml:space="preserve">Judgment, not fact - treat as a prompt for a human reviewer. Note: the function is vanilla, so the limits must live in the prompt.</t>
  </si>
  <si>
    <t xml:space="preserve">=COPILOT("Rate the urgency implied by this memo as Normal, Medium, or High, and briefly why.", C2)</t>
  </si>
  <si>
    <t xml:space="preserve">Low stakes - fine to use as a sort key.</t>
  </si>
  <si>
    <t xml:space="preserve">Summarize all</t>
  </si>
  <si>
    <t xml:space="preserve">=COPILOT("Summarize these expense memos into 3 bullet points a controller would care about.", C2:C16)</t>
  </si>
  <si>
    <t xml:space="preserve">Read the source rows behind any surprising claim.</t>
  </si>
  <si>
    <t xml:space="preserve">Note: COPILOT() requires a Microsoft 365 Copilot license and recalculates against a live model, so results can vary run to run. It is designed for text tasks - classify, extract, summarize - not precise calculation.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</si>
</sst>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#,##0;\(#,##0\);\-"/>
    <numFmt numFmtId="168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F3338"/>
      <name val="Arial"/>
      <family val="0"/>
      <charset val="1"/>
    </font>
    <font>
      <i val="true"/>
      <sz val="10"/>
      <color rgb="FF707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1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23.85" hidden="false" customHeight="false" outlineLevel="0" collapsed="false">
      <c r="A6" s="4" t="s">
        <v>8</v>
      </c>
      <c r="B6" s="4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4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44"/>
  </cols>
  <sheetData>
    <row r="1" customFormat="false" ht="21.75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36</v>
      </c>
      <c r="E2" s="6" t="n">
        <v>1250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</row>
    <row r="3" customFormat="false" ht="15" hidden="false" customHeight="false" outlineLevel="0" collapsed="false">
      <c r="A3" s="4" t="s">
        <v>42</v>
      </c>
      <c r="B3" s="4" t="s">
        <v>43</v>
      </c>
      <c r="C3" s="4" t="s">
        <v>44</v>
      </c>
      <c r="D3" s="4" t="s">
        <v>45</v>
      </c>
      <c r="E3" s="6" t="n">
        <v>980.5</v>
      </c>
      <c r="F3" s="4" t="s">
        <v>46</v>
      </c>
      <c r="G3" s="4" t="s">
        <v>38</v>
      </c>
      <c r="H3" s="4" t="s">
        <v>39</v>
      </c>
      <c r="I3" s="4" t="s">
        <v>40</v>
      </c>
      <c r="J3" s="5" t="s">
        <v>47</v>
      </c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6" t="n">
        <v>1450</v>
      </c>
      <c r="F4" s="4" t="s">
        <v>37</v>
      </c>
      <c r="G4" s="4"/>
      <c r="H4" s="4" t="s">
        <v>52</v>
      </c>
      <c r="I4" s="4" t="s">
        <v>53</v>
      </c>
      <c r="J4" s="5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57</v>
      </c>
      <c r="D5" s="4" t="s">
        <v>58</v>
      </c>
      <c r="E5" s="6" t="n">
        <v>3300</v>
      </c>
      <c r="F5" s="4" t="s">
        <v>37</v>
      </c>
      <c r="G5" s="4" t="s">
        <v>59</v>
      </c>
      <c r="H5" s="4" t="s">
        <v>60</v>
      </c>
      <c r="I5" s="4" t="s">
        <v>40</v>
      </c>
      <c r="J5" s="5" t="s">
        <v>61</v>
      </c>
    </row>
    <row r="6" customFormat="false" ht="15" hidden="false" customHeight="false" outlineLevel="0" collapsed="false">
      <c r="A6" s="4" t="s">
        <v>62</v>
      </c>
      <c r="B6" s="4" t="s">
        <v>63</v>
      </c>
      <c r="C6" s="4" t="s">
        <v>64</v>
      </c>
      <c r="D6" s="4" t="s">
        <v>65</v>
      </c>
      <c r="E6" s="6" t="n">
        <v>3300</v>
      </c>
      <c r="F6" s="4" t="s">
        <v>37</v>
      </c>
      <c r="G6" s="4" t="s">
        <v>59</v>
      </c>
      <c r="H6" s="4" t="s">
        <v>39</v>
      </c>
      <c r="I6" s="4" t="s">
        <v>40</v>
      </c>
      <c r="J6" s="5" t="s">
        <v>61</v>
      </c>
    </row>
    <row r="7" customFormat="false" ht="15" hidden="false" customHeight="false" outlineLevel="0" collapsed="false">
      <c r="A7" s="4" t="s">
        <v>66</v>
      </c>
      <c r="B7" s="4" t="s">
        <v>67</v>
      </c>
      <c r="C7" s="4" t="s">
        <v>68</v>
      </c>
      <c r="D7" s="4" t="s">
        <v>69</v>
      </c>
      <c r="E7" s="6" t="n">
        <v>212.75</v>
      </c>
      <c r="F7" s="4" t="s">
        <v>37</v>
      </c>
      <c r="G7" s="4" t="s">
        <v>38</v>
      </c>
      <c r="H7" s="4" t="s">
        <v>70</v>
      </c>
      <c r="I7" s="4" t="s">
        <v>53</v>
      </c>
      <c r="J7" s="5" t="s">
        <v>71</v>
      </c>
    </row>
    <row r="8" customFormat="false" ht="15" hidden="false" customHeight="false" outlineLevel="0" collapsed="false">
      <c r="A8" s="4" t="s">
        <v>72</v>
      </c>
      <c r="B8" s="4" t="s">
        <v>73</v>
      </c>
      <c r="C8" s="4" t="s">
        <v>74</v>
      </c>
      <c r="D8" s="4" t="s">
        <v>75</v>
      </c>
      <c r="E8" s="6"/>
      <c r="F8" s="4" t="s">
        <v>37</v>
      </c>
      <c r="G8" s="4" t="s">
        <v>38</v>
      </c>
      <c r="H8" s="4" t="s">
        <v>70</v>
      </c>
      <c r="I8" s="4" t="s">
        <v>53</v>
      </c>
      <c r="J8" s="5" t="s">
        <v>76</v>
      </c>
    </row>
    <row r="9" customFormat="false" ht="15" hidden="false" customHeight="false" outlineLevel="0" collapsed="false">
      <c r="A9" s="4" t="s">
        <v>77</v>
      </c>
      <c r="B9" s="4" t="s">
        <v>78</v>
      </c>
      <c r="C9" s="4" t="s">
        <v>79</v>
      </c>
      <c r="D9" s="4" t="s">
        <v>80</v>
      </c>
      <c r="E9" s="6" t="n">
        <v>8160.94</v>
      </c>
      <c r="F9" s="4" t="s">
        <v>37</v>
      </c>
      <c r="G9" s="4" t="s">
        <v>81</v>
      </c>
      <c r="H9" s="4" t="s">
        <v>70</v>
      </c>
      <c r="I9" s="4" t="s">
        <v>40</v>
      </c>
      <c r="J9" s="5" t="s">
        <v>82</v>
      </c>
    </row>
    <row r="10" customFormat="false" ht="15" hidden="false" customHeight="false" outlineLevel="0" collapsed="false">
      <c r="A10" s="4" t="s">
        <v>83</v>
      </c>
      <c r="B10" s="4" t="s">
        <v>84</v>
      </c>
      <c r="C10" s="4" t="s">
        <v>85</v>
      </c>
      <c r="D10" s="4" t="s">
        <v>86</v>
      </c>
      <c r="E10" s="6" t="n">
        <v>-450</v>
      </c>
      <c r="F10" s="4" t="s">
        <v>37</v>
      </c>
      <c r="G10" s="4" t="s">
        <v>81</v>
      </c>
      <c r="H10" s="4" t="s">
        <v>70</v>
      </c>
      <c r="I10" s="4" t="s">
        <v>40</v>
      </c>
      <c r="J10" s="5" t="s">
        <v>87</v>
      </c>
    </row>
    <row r="11" customFormat="false" ht="15" hidden="false" customHeight="false" outlineLevel="0" collapsed="false">
      <c r="A11" s="4" t="s">
        <v>88</v>
      </c>
      <c r="B11" s="4" t="s">
        <v>89</v>
      </c>
      <c r="C11" s="4" t="s">
        <v>90</v>
      </c>
      <c r="D11" s="4" t="s">
        <v>91</v>
      </c>
      <c r="E11" s="6" t="n">
        <v>1725</v>
      </c>
      <c r="F11" s="4" t="s">
        <v>92</v>
      </c>
      <c r="G11" s="4" t="s">
        <v>59</v>
      </c>
      <c r="H11" s="4" t="s">
        <v>70</v>
      </c>
      <c r="I11" s="4" t="s">
        <v>53</v>
      </c>
      <c r="J11" s="5" t="s">
        <v>93</v>
      </c>
    </row>
    <row r="12" customFormat="false" ht="15" hidden="false" customHeight="false" outlineLevel="0" collapsed="false">
      <c r="A12" s="4" t="s">
        <v>88</v>
      </c>
      <c r="B12" s="4" t="s">
        <v>89</v>
      </c>
      <c r="C12" s="4" t="s">
        <v>90</v>
      </c>
      <c r="D12" s="4" t="s">
        <v>91</v>
      </c>
      <c r="E12" s="6" t="n">
        <v>1725</v>
      </c>
      <c r="F12" s="4" t="s">
        <v>92</v>
      </c>
      <c r="G12" s="4" t="s">
        <v>59</v>
      </c>
      <c r="H12" s="4" t="s">
        <v>70</v>
      </c>
      <c r="I12" s="4" t="s">
        <v>53</v>
      </c>
      <c r="J12" s="5" t="s">
        <v>93</v>
      </c>
    </row>
    <row r="13" customFormat="false" ht="15" hidden="false" customHeight="false" outlineLevel="0" collapsed="false">
      <c r="A13" s="4" t="s">
        <v>94</v>
      </c>
      <c r="B13" s="4" t="s">
        <v>95</v>
      </c>
      <c r="C13" s="4" t="s">
        <v>51</v>
      </c>
      <c r="D13" s="4" t="s">
        <v>96</v>
      </c>
      <c r="E13" s="6" t="n">
        <v>640</v>
      </c>
      <c r="F13" s="4" t="s">
        <v>37</v>
      </c>
      <c r="G13" s="4" t="s">
        <v>97</v>
      </c>
      <c r="H13" s="4" t="s">
        <v>70</v>
      </c>
      <c r="I13" s="4" t="s">
        <v>40</v>
      </c>
      <c r="J13" s="5" t="s">
        <v>98</v>
      </c>
    </row>
    <row r="14" customFormat="false" ht="15" hidden="false" customHeight="false" outlineLevel="0" collapsed="false">
      <c r="A14" s="4" t="s">
        <v>99</v>
      </c>
      <c r="B14" s="4" t="s">
        <v>100</v>
      </c>
      <c r="C14" s="4" t="s">
        <v>101</v>
      </c>
      <c r="D14" s="4" t="s">
        <v>102</v>
      </c>
      <c r="E14" s="6" t="n">
        <v>640</v>
      </c>
      <c r="F14" s="4" t="s">
        <v>37</v>
      </c>
      <c r="G14" s="4" t="s">
        <v>103</v>
      </c>
      <c r="H14" s="4" t="s">
        <v>70</v>
      </c>
      <c r="I14" s="4" t="s">
        <v>40</v>
      </c>
      <c r="J14" s="5" t="s">
        <v>104</v>
      </c>
    </row>
    <row r="15" customFormat="false" ht="15" hidden="false" customHeight="false" outlineLevel="0" collapsed="false">
      <c r="A15" s="4" t="s">
        <v>105</v>
      </c>
      <c r="B15" s="4" t="s">
        <v>106</v>
      </c>
      <c r="C15" s="4" t="s">
        <v>107</v>
      </c>
      <c r="D15" s="4" t="s">
        <v>108</v>
      </c>
      <c r="E15" s="6" t="n">
        <v>12750</v>
      </c>
      <c r="F15" s="4" t="s">
        <v>37</v>
      </c>
      <c r="G15" s="4" t="s">
        <v>81</v>
      </c>
      <c r="H15" s="4" t="s">
        <v>70</v>
      </c>
      <c r="I15" s="4" t="s">
        <v>40</v>
      </c>
      <c r="J15" s="5" t="s">
        <v>109</v>
      </c>
    </row>
    <row r="16" customFormat="false" ht="15" hidden="false" customHeight="false" outlineLevel="0" collapsed="false">
      <c r="A16" s="4" t="s">
        <v>110</v>
      </c>
      <c r="B16" s="4" t="s">
        <v>111</v>
      </c>
      <c r="C16" s="4" t="s">
        <v>112</v>
      </c>
      <c r="D16" s="4" t="s">
        <v>113</v>
      </c>
      <c r="E16" s="6" t="n">
        <v>2980.4</v>
      </c>
      <c r="F16" s="4" t="s">
        <v>37</v>
      </c>
      <c r="G16" s="4"/>
      <c r="H16" s="4" t="s">
        <v>52</v>
      </c>
      <c r="I16" s="4" t="s">
        <v>53</v>
      </c>
      <c r="J16" s="5" t="s">
        <v>114</v>
      </c>
    </row>
    <row r="17" customFormat="false" ht="15" hidden="false" customHeight="false" outlineLevel="0" collapsed="false">
      <c r="A17" s="4" t="s">
        <v>115</v>
      </c>
      <c r="B17" s="4" t="s">
        <v>116</v>
      </c>
      <c r="C17" s="4" t="s">
        <v>117</v>
      </c>
      <c r="D17" s="4" t="s">
        <v>118</v>
      </c>
      <c r="E17" s="6" t="n">
        <v>415.6</v>
      </c>
      <c r="F17" s="4" t="s">
        <v>37</v>
      </c>
      <c r="G17" s="4" t="s">
        <v>97</v>
      </c>
      <c r="H17" s="4" t="s">
        <v>70</v>
      </c>
      <c r="I17" s="4" t="s">
        <v>40</v>
      </c>
      <c r="J17" s="5" t="s">
        <v>119</v>
      </c>
    </row>
    <row r="18" customFormat="false" ht="15" hidden="false" customHeight="false" outlineLevel="0" collapsed="false">
      <c r="A18" s="4" t="s">
        <v>33</v>
      </c>
      <c r="B18" s="4" t="s">
        <v>120</v>
      </c>
      <c r="C18" s="4" t="s">
        <v>121</v>
      </c>
      <c r="D18" s="4" t="s">
        <v>122</v>
      </c>
      <c r="E18" s="6" t="n">
        <v>1250</v>
      </c>
      <c r="F18" s="4" t="s">
        <v>37</v>
      </c>
      <c r="G18" s="4" t="s">
        <v>38</v>
      </c>
      <c r="H18" s="4" t="s">
        <v>123</v>
      </c>
      <c r="I18" s="4" t="s">
        <v>40</v>
      </c>
      <c r="J18" s="5" t="s">
        <v>124</v>
      </c>
    </row>
    <row r="19" customFormat="false" ht="15" hidden="false" customHeight="false" outlineLevel="0" collapsed="false">
      <c r="A19" s="4" t="s">
        <v>125</v>
      </c>
      <c r="B19" s="4" t="s">
        <v>126</v>
      </c>
      <c r="C19" s="4" t="s">
        <v>127</v>
      </c>
      <c r="D19" s="4" t="s">
        <v>128</v>
      </c>
      <c r="E19" s="6" t="n">
        <v>5400</v>
      </c>
      <c r="F19" s="4" t="s">
        <v>37</v>
      </c>
      <c r="G19" s="4" t="s">
        <v>59</v>
      </c>
      <c r="H19" s="4" t="s">
        <v>70</v>
      </c>
      <c r="I19" s="4" t="s">
        <v>53</v>
      </c>
      <c r="J19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3" t="s">
        <v>135</v>
      </c>
      <c r="G1" s="3" t="s">
        <v>136</v>
      </c>
      <c r="H1" s="3" t="s">
        <v>137</v>
      </c>
    </row>
    <row r="2" customFormat="false" ht="23.85" hidden="false" customHeight="false" outlineLevel="0" collapsed="false">
      <c r="A2" s="4" t="s">
        <v>138</v>
      </c>
      <c r="B2" s="4" t="s">
        <v>139</v>
      </c>
      <c r="C2" s="5" t="s">
        <v>140</v>
      </c>
      <c r="D2" s="4"/>
      <c r="E2" s="4"/>
      <c r="F2" s="4"/>
      <c r="G2" s="5"/>
      <c r="H2" s="4"/>
    </row>
    <row r="3" customFormat="false" ht="23.85" hidden="false" customHeight="false" outlineLevel="0" collapsed="false">
      <c r="A3" s="4" t="s">
        <v>141</v>
      </c>
      <c r="B3" s="4" t="s">
        <v>142</v>
      </c>
      <c r="C3" s="5" t="s">
        <v>143</v>
      </c>
      <c r="D3" s="4"/>
      <c r="E3" s="4"/>
      <c r="F3" s="4"/>
      <c r="G3" s="5"/>
      <c r="H3" s="4"/>
    </row>
    <row r="4" customFormat="false" ht="23.85" hidden="false" customHeight="false" outlineLevel="0" collapsed="false">
      <c r="A4" s="4" t="s">
        <v>144</v>
      </c>
      <c r="B4" s="4" t="s">
        <v>145</v>
      </c>
      <c r="C4" s="5" t="s">
        <v>146</v>
      </c>
      <c r="D4" s="4"/>
      <c r="E4" s="4"/>
      <c r="F4" s="4"/>
      <c r="G4" s="5"/>
      <c r="H4" s="4"/>
    </row>
    <row r="5" customFormat="false" ht="23.85" hidden="false" customHeight="false" outlineLevel="0" collapsed="false">
      <c r="A5" s="4" t="s">
        <v>147</v>
      </c>
      <c r="B5" s="4" t="s">
        <v>148</v>
      </c>
      <c r="C5" s="5" t="s">
        <v>149</v>
      </c>
      <c r="D5" s="4"/>
      <c r="E5" s="4"/>
      <c r="F5" s="4"/>
      <c r="G5" s="5"/>
      <c r="H5" s="4"/>
    </row>
    <row r="6" customFormat="false" ht="23.85" hidden="false" customHeight="false" outlineLevel="0" collapsed="false">
      <c r="A6" s="4" t="s">
        <v>150</v>
      </c>
      <c r="B6" s="4" t="s">
        <v>139</v>
      </c>
      <c r="C6" s="5" t="s">
        <v>151</v>
      </c>
      <c r="D6" s="4"/>
      <c r="E6" s="4"/>
      <c r="F6" s="4"/>
      <c r="G6" s="5"/>
      <c r="H6" s="4"/>
    </row>
    <row r="7" customFormat="false" ht="23.85" hidden="false" customHeight="false" outlineLevel="0" collapsed="false">
      <c r="A7" s="4" t="s">
        <v>152</v>
      </c>
      <c r="B7" s="4" t="s">
        <v>153</v>
      </c>
      <c r="C7" s="5" t="s">
        <v>154</v>
      </c>
      <c r="D7" s="4"/>
      <c r="E7" s="4"/>
      <c r="F7" s="4"/>
      <c r="G7" s="5"/>
      <c r="H7" s="4"/>
    </row>
    <row r="8" customFormat="false" ht="23.85" hidden="false" customHeight="false" outlineLevel="0" collapsed="false">
      <c r="A8" s="4" t="s">
        <v>155</v>
      </c>
      <c r="B8" s="4" t="s">
        <v>142</v>
      </c>
      <c r="C8" s="5" t="s">
        <v>156</v>
      </c>
      <c r="D8" s="4"/>
      <c r="E8" s="4"/>
      <c r="F8" s="4"/>
      <c r="G8" s="5"/>
      <c r="H8" s="4"/>
    </row>
    <row r="9" customFormat="false" ht="23.85" hidden="false" customHeight="false" outlineLevel="0" collapsed="false">
      <c r="A9" s="4" t="s">
        <v>157</v>
      </c>
      <c r="B9" s="4" t="s">
        <v>148</v>
      </c>
      <c r="C9" s="5" t="s">
        <v>158</v>
      </c>
      <c r="D9" s="4"/>
      <c r="E9" s="4"/>
      <c r="F9" s="4"/>
      <c r="G9" s="5"/>
      <c r="H9" s="4"/>
    </row>
    <row r="10" customFormat="false" ht="23.85" hidden="false" customHeight="false" outlineLevel="0" collapsed="false">
      <c r="A10" s="4" t="s">
        <v>159</v>
      </c>
      <c r="B10" s="4" t="s">
        <v>145</v>
      </c>
      <c r="C10" s="5" t="s">
        <v>160</v>
      </c>
      <c r="D10" s="4"/>
      <c r="E10" s="4"/>
      <c r="F10" s="4"/>
      <c r="G10" s="5"/>
      <c r="H10" s="4"/>
    </row>
    <row r="11" customFormat="false" ht="23.85" hidden="false" customHeight="false" outlineLevel="0" collapsed="false">
      <c r="A11" s="4" t="s">
        <v>161</v>
      </c>
      <c r="B11" s="4" t="s">
        <v>153</v>
      </c>
      <c r="C11" s="5" t="s">
        <v>162</v>
      </c>
      <c r="D11" s="4"/>
      <c r="E11" s="4"/>
      <c r="F11" s="4"/>
      <c r="G11" s="5"/>
      <c r="H11" s="4"/>
    </row>
    <row r="12" customFormat="false" ht="23.85" hidden="false" customHeight="false" outlineLevel="0" collapsed="false">
      <c r="A12" s="4" t="s">
        <v>163</v>
      </c>
      <c r="B12" s="4" t="s">
        <v>139</v>
      </c>
      <c r="C12" s="5" t="s">
        <v>164</v>
      </c>
      <c r="D12" s="4"/>
      <c r="E12" s="4"/>
      <c r="F12" s="4"/>
      <c r="G12" s="5"/>
      <c r="H12" s="4"/>
    </row>
    <row r="13" customFormat="false" ht="15" hidden="false" customHeight="false" outlineLevel="0" collapsed="false">
      <c r="A13" s="4" t="s">
        <v>165</v>
      </c>
      <c r="B13" s="4" t="s">
        <v>142</v>
      </c>
      <c r="C13" s="5" t="s">
        <v>166</v>
      </c>
      <c r="D13" s="4"/>
      <c r="E13" s="4"/>
      <c r="F13" s="4"/>
      <c r="G13" s="5"/>
      <c r="H13" s="4"/>
    </row>
    <row r="14" customFormat="false" ht="15" hidden="false" customHeight="false" outlineLevel="0" collapsed="false">
      <c r="A14" s="4" t="s">
        <v>167</v>
      </c>
      <c r="B14" s="4" t="s">
        <v>148</v>
      </c>
      <c r="C14" s="5" t="s">
        <v>168</v>
      </c>
      <c r="D14" s="4"/>
      <c r="E14" s="4"/>
      <c r="F14" s="4"/>
      <c r="G14" s="5"/>
      <c r="H14" s="4"/>
    </row>
    <row r="15" customFormat="false" ht="23.85" hidden="false" customHeight="false" outlineLevel="0" collapsed="false">
      <c r="A15" s="4" t="s">
        <v>169</v>
      </c>
      <c r="B15" s="4" t="s">
        <v>145</v>
      </c>
      <c r="C15" s="5" t="s">
        <v>170</v>
      </c>
      <c r="D15" s="4"/>
      <c r="E15" s="4"/>
      <c r="F15" s="4"/>
      <c r="G15" s="5"/>
      <c r="H15" s="4"/>
    </row>
    <row r="16" customFormat="false" ht="23.85" hidden="false" customHeight="false" outlineLevel="0" collapsed="false">
      <c r="A16" s="4" t="s">
        <v>171</v>
      </c>
      <c r="B16" s="4" t="s">
        <v>153</v>
      </c>
      <c r="C16" s="5" t="s">
        <v>172</v>
      </c>
      <c r="D16" s="4"/>
      <c r="E16" s="4"/>
      <c r="F16" s="4"/>
      <c r="G16" s="5"/>
      <c r="H16" s="4"/>
    </row>
    <row r="18" customFormat="false" ht="15" hidden="false" customHeight="false" outlineLevel="0" collapsed="false">
      <c r="A18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3" t="s">
        <v>174</v>
      </c>
      <c r="B1" s="3" t="s">
        <v>29</v>
      </c>
      <c r="C1" s="3" t="s">
        <v>175</v>
      </c>
      <c r="D1" s="3" t="s">
        <v>176</v>
      </c>
      <c r="E1" s="3" t="s">
        <v>177</v>
      </c>
      <c r="F1" s="3" t="s">
        <v>178</v>
      </c>
    </row>
    <row r="2" customFormat="false" ht="15" hidden="false" customHeight="false" outlineLevel="0" collapsed="false">
      <c r="A2" s="4" t="s">
        <v>179</v>
      </c>
      <c r="B2" s="4" t="s">
        <v>38</v>
      </c>
      <c r="C2" s="7" t="n">
        <v>106215</v>
      </c>
      <c r="D2" s="7" t="n">
        <v>106397</v>
      </c>
      <c r="E2" s="8" t="n">
        <f aca="false">C2-D2</f>
        <v>-182</v>
      </c>
      <c r="F2" s="4" t="n">
        <v>58</v>
      </c>
    </row>
    <row r="3" customFormat="false" ht="15" hidden="false" customHeight="false" outlineLevel="0" collapsed="false">
      <c r="A3" s="4" t="s">
        <v>179</v>
      </c>
      <c r="B3" s="4" t="s">
        <v>97</v>
      </c>
      <c r="C3" s="7" t="n">
        <v>126355</v>
      </c>
      <c r="D3" s="7" t="n">
        <v>124972</v>
      </c>
      <c r="E3" s="8" t="n">
        <f aca="false">C3-D3</f>
        <v>1383</v>
      </c>
      <c r="F3" s="4" t="n">
        <v>81</v>
      </c>
    </row>
    <row r="4" customFormat="false" ht="15" hidden="false" customHeight="false" outlineLevel="0" collapsed="false">
      <c r="A4" s="4" t="s">
        <v>179</v>
      </c>
      <c r="B4" s="4" t="s">
        <v>59</v>
      </c>
      <c r="C4" s="7" t="n">
        <v>101909</v>
      </c>
      <c r="D4" s="7" t="n">
        <v>106931</v>
      </c>
      <c r="E4" s="8" t="n">
        <f aca="false">C4-D4</f>
        <v>-5022</v>
      </c>
      <c r="F4" s="4" t="n">
        <v>137</v>
      </c>
    </row>
    <row r="5" customFormat="false" ht="15" hidden="false" customHeight="false" outlineLevel="0" collapsed="false">
      <c r="A5" s="4" t="s">
        <v>179</v>
      </c>
      <c r="B5" s="4" t="s">
        <v>81</v>
      </c>
      <c r="C5" s="7" t="n">
        <v>144689</v>
      </c>
      <c r="D5" s="7" t="n">
        <v>151200</v>
      </c>
      <c r="E5" s="8" t="n">
        <f aca="false">C5-D5</f>
        <v>-6511</v>
      </c>
      <c r="F5" s="4" t="n">
        <v>84</v>
      </c>
    </row>
    <row r="6" customFormat="false" ht="15" hidden="false" customHeight="false" outlineLevel="0" collapsed="false">
      <c r="A6" s="4" t="s">
        <v>179</v>
      </c>
      <c r="B6" s="4" t="s">
        <v>180</v>
      </c>
      <c r="C6" s="7" t="n">
        <v>87725</v>
      </c>
      <c r="D6" s="7" t="n">
        <v>92300</v>
      </c>
      <c r="E6" s="8" t="n">
        <f aca="false">C6-D6</f>
        <v>-4575</v>
      </c>
      <c r="F6" s="4" t="n">
        <v>49</v>
      </c>
    </row>
    <row r="7" customFormat="false" ht="15" hidden="false" customHeight="false" outlineLevel="0" collapsed="false">
      <c r="A7" s="4" t="s">
        <v>181</v>
      </c>
      <c r="B7" s="4" t="s">
        <v>38</v>
      </c>
      <c r="C7" s="7" t="n">
        <v>104124</v>
      </c>
      <c r="D7" s="7" t="n">
        <v>106397</v>
      </c>
      <c r="E7" s="8" t="n">
        <f aca="false">C7-D7</f>
        <v>-2273</v>
      </c>
      <c r="F7" s="4" t="n">
        <v>56</v>
      </c>
    </row>
    <row r="8" customFormat="false" ht="15" hidden="false" customHeight="false" outlineLevel="0" collapsed="false">
      <c r="A8" s="4" t="s">
        <v>181</v>
      </c>
      <c r="B8" s="4" t="s">
        <v>97</v>
      </c>
      <c r="C8" s="7" t="n">
        <v>127228</v>
      </c>
      <c r="D8" s="7" t="n">
        <v>124972</v>
      </c>
      <c r="E8" s="8" t="n">
        <f aca="false">C8-D8</f>
        <v>2256</v>
      </c>
      <c r="F8" s="4" t="n">
        <v>82</v>
      </c>
    </row>
    <row r="9" customFormat="false" ht="15" hidden="false" customHeight="false" outlineLevel="0" collapsed="false">
      <c r="A9" s="4" t="s">
        <v>181</v>
      </c>
      <c r="B9" s="4" t="s">
        <v>59</v>
      </c>
      <c r="C9" s="7" t="n">
        <v>105147</v>
      </c>
      <c r="D9" s="7" t="n">
        <v>106931</v>
      </c>
      <c r="E9" s="8" t="n">
        <f aca="false">C9-D9</f>
        <v>-1784</v>
      </c>
      <c r="F9" s="4" t="n">
        <v>137</v>
      </c>
    </row>
    <row r="10" customFormat="false" ht="15" hidden="false" customHeight="false" outlineLevel="0" collapsed="false">
      <c r="A10" s="4" t="s">
        <v>181</v>
      </c>
      <c r="B10" s="4" t="s">
        <v>81</v>
      </c>
      <c r="C10" s="7" t="n">
        <v>153681</v>
      </c>
      <c r="D10" s="7" t="n">
        <v>151200</v>
      </c>
      <c r="E10" s="8" t="n">
        <f aca="false">C10-D10</f>
        <v>2481</v>
      </c>
      <c r="F10" s="4" t="n">
        <v>84</v>
      </c>
    </row>
    <row r="11" customFormat="false" ht="15" hidden="false" customHeight="false" outlineLevel="0" collapsed="false">
      <c r="A11" s="4" t="s">
        <v>181</v>
      </c>
      <c r="B11" s="4" t="s">
        <v>180</v>
      </c>
      <c r="C11" s="7" t="n">
        <v>88818</v>
      </c>
      <c r="D11" s="7" t="n">
        <v>92300</v>
      </c>
      <c r="E11" s="8" t="n">
        <f aca="false">C11-D11</f>
        <v>-3482</v>
      </c>
      <c r="F11" s="4" t="n">
        <v>40</v>
      </c>
    </row>
    <row r="12" customFormat="false" ht="15" hidden="false" customHeight="false" outlineLevel="0" collapsed="false">
      <c r="A12" s="4" t="s">
        <v>182</v>
      </c>
      <c r="B12" s="4" t="s">
        <v>38</v>
      </c>
      <c r="C12" s="7" t="n">
        <v>112090</v>
      </c>
      <c r="D12" s="7" t="n">
        <v>106397</v>
      </c>
      <c r="E12" s="8" t="n">
        <f aca="false">C12-D12</f>
        <v>5693</v>
      </c>
      <c r="F12" s="4" t="n">
        <v>72</v>
      </c>
    </row>
    <row r="13" customFormat="false" ht="15" hidden="false" customHeight="false" outlineLevel="0" collapsed="false">
      <c r="A13" s="4" t="s">
        <v>182</v>
      </c>
      <c r="B13" s="4" t="s">
        <v>97</v>
      </c>
      <c r="C13" s="7" t="n">
        <v>138792</v>
      </c>
      <c r="D13" s="7" t="n">
        <v>124972</v>
      </c>
      <c r="E13" s="8" t="n">
        <f aca="false">C13-D13</f>
        <v>13820</v>
      </c>
      <c r="F13" s="4" t="n">
        <v>98</v>
      </c>
    </row>
    <row r="14" customFormat="false" ht="15" hidden="false" customHeight="false" outlineLevel="0" collapsed="false">
      <c r="A14" s="4" t="s">
        <v>182</v>
      </c>
      <c r="B14" s="4" t="s">
        <v>59</v>
      </c>
      <c r="C14" s="7" t="n">
        <v>111785</v>
      </c>
      <c r="D14" s="7" t="n">
        <v>106931</v>
      </c>
      <c r="E14" s="8" t="n">
        <f aca="false">C14-D14</f>
        <v>4854</v>
      </c>
      <c r="F14" s="4" t="n">
        <v>121</v>
      </c>
    </row>
    <row r="15" customFormat="false" ht="15" hidden="false" customHeight="false" outlineLevel="0" collapsed="false">
      <c r="A15" s="4" t="s">
        <v>182</v>
      </c>
      <c r="B15" s="4" t="s">
        <v>81</v>
      </c>
      <c r="C15" s="7" t="n">
        <v>168697</v>
      </c>
      <c r="D15" s="7" t="n">
        <v>151200</v>
      </c>
      <c r="E15" s="8" t="n">
        <f aca="false">C15-D15</f>
        <v>17497</v>
      </c>
      <c r="F15" s="4" t="n">
        <v>67</v>
      </c>
    </row>
    <row r="16" customFormat="false" ht="15" hidden="false" customHeight="false" outlineLevel="0" collapsed="false">
      <c r="A16" s="4" t="s">
        <v>182</v>
      </c>
      <c r="B16" s="4" t="s">
        <v>180</v>
      </c>
      <c r="C16" s="7" t="n">
        <v>96010</v>
      </c>
      <c r="D16" s="7" t="n">
        <v>92300</v>
      </c>
      <c r="E16" s="8" t="n">
        <f aca="false">C16-D16</f>
        <v>3710</v>
      </c>
      <c r="F16" s="4" t="n">
        <v>37</v>
      </c>
    </row>
    <row r="17" customFormat="false" ht="15" hidden="false" customHeight="false" outlineLevel="0" collapsed="false">
      <c r="A17" s="4" t="s">
        <v>183</v>
      </c>
      <c r="B17" s="4" t="s">
        <v>38</v>
      </c>
      <c r="C17" s="7" t="n">
        <v>105559</v>
      </c>
      <c r="D17" s="7" t="n">
        <v>106397</v>
      </c>
      <c r="E17" s="8" t="n">
        <f aca="false">C17-D17</f>
        <v>-838</v>
      </c>
      <c r="F17" s="4" t="n">
        <v>58</v>
      </c>
    </row>
    <row r="18" customFormat="false" ht="15" hidden="false" customHeight="false" outlineLevel="0" collapsed="false">
      <c r="A18" s="4" t="s">
        <v>183</v>
      </c>
      <c r="B18" s="4" t="s">
        <v>97</v>
      </c>
      <c r="C18" s="7" t="n">
        <v>129636</v>
      </c>
      <c r="D18" s="7" t="n">
        <v>124972</v>
      </c>
      <c r="E18" s="8" t="n">
        <f aca="false">C18-D18</f>
        <v>4664</v>
      </c>
      <c r="F18" s="4" t="n">
        <v>98</v>
      </c>
    </row>
    <row r="19" customFormat="false" ht="15" hidden="false" customHeight="false" outlineLevel="0" collapsed="false">
      <c r="A19" s="4" t="s">
        <v>183</v>
      </c>
      <c r="B19" s="4" t="s">
        <v>59</v>
      </c>
      <c r="C19" s="7" t="n">
        <v>106452</v>
      </c>
      <c r="D19" s="7" t="n">
        <v>106931</v>
      </c>
      <c r="E19" s="8" t="n">
        <f aca="false">C19-D19</f>
        <v>-479</v>
      </c>
      <c r="F19" s="4" t="n">
        <v>141</v>
      </c>
    </row>
    <row r="20" customFormat="false" ht="15" hidden="false" customHeight="false" outlineLevel="0" collapsed="false">
      <c r="A20" s="4" t="s">
        <v>183</v>
      </c>
      <c r="B20" s="4" t="s">
        <v>81</v>
      </c>
      <c r="C20" s="7" t="n">
        <v>147046</v>
      </c>
      <c r="D20" s="7" t="n">
        <v>151200</v>
      </c>
      <c r="E20" s="8" t="n">
        <f aca="false">C20-D20</f>
        <v>-4154</v>
      </c>
      <c r="F20" s="4" t="n">
        <v>84</v>
      </c>
    </row>
    <row r="21" customFormat="false" ht="15" hidden="false" customHeight="false" outlineLevel="0" collapsed="false">
      <c r="A21" s="4" t="s">
        <v>183</v>
      </c>
      <c r="B21" s="4" t="s">
        <v>180</v>
      </c>
      <c r="C21" s="7" t="n">
        <v>96251</v>
      </c>
      <c r="D21" s="7" t="n">
        <v>92300</v>
      </c>
      <c r="E21" s="8" t="n">
        <f aca="false">C21-D21</f>
        <v>3951</v>
      </c>
      <c r="F21" s="4" t="n">
        <v>39</v>
      </c>
    </row>
    <row r="22" customFormat="false" ht="15" hidden="false" customHeight="false" outlineLevel="0" collapsed="false">
      <c r="A22" s="4" t="s">
        <v>184</v>
      </c>
      <c r="B22" s="4" t="s">
        <v>38</v>
      </c>
      <c r="C22" s="7" t="n">
        <v>107145</v>
      </c>
      <c r="D22" s="7" t="n">
        <v>106397</v>
      </c>
      <c r="E22" s="8" t="n">
        <f aca="false">C22-D22</f>
        <v>748</v>
      </c>
      <c r="F22" s="4" t="n">
        <v>71</v>
      </c>
    </row>
    <row r="23" customFormat="false" ht="15" hidden="false" customHeight="false" outlineLevel="0" collapsed="false">
      <c r="A23" s="4" t="s">
        <v>184</v>
      </c>
      <c r="B23" s="4" t="s">
        <v>97</v>
      </c>
      <c r="C23" s="7" t="n">
        <v>133492</v>
      </c>
      <c r="D23" s="7" t="n">
        <v>124972</v>
      </c>
      <c r="E23" s="8" t="n">
        <f aca="false">C23-D23</f>
        <v>8520</v>
      </c>
      <c r="F23" s="4" t="n">
        <v>98</v>
      </c>
    </row>
    <row r="24" customFormat="false" ht="15" hidden="false" customHeight="false" outlineLevel="0" collapsed="false">
      <c r="A24" s="4" t="s">
        <v>184</v>
      </c>
      <c r="B24" s="4" t="s">
        <v>59</v>
      </c>
      <c r="C24" s="7" t="n">
        <v>101662</v>
      </c>
      <c r="D24" s="7" t="n">
        <v>106931</v>
      </c>
      <c r="E24" s="8" t="n">
        <f aca="false">C24-D24</f>
        <v>-5269</v>
      </c>
      <c r="F24" s="4" t="n">
        <v>126</v>
      </c>
    </row>
    <row r="25" customFormat="false" ht="15" hidden="false" customHeight="false" outlineLevel="0" collapsed="false">
      <c r="A25" s="4" t="s">
        <v>184</v>
      </c>
      <c r="B25" s="4" t="s">
        <v>81</v>
      </c>
      <c r="C25" s="7" t="n">
        <v>155638</v>
      </c>
      <c r="D25" s="7" t="n">
        <v>151200</v>
      </c>
      <c r="E25" s="8" t="n">
        <f aca="false">C25-D25</f>
        <v>4438</v>
      </c>
      <c r="F25" s="4" t="n">
        <v>83</v>
      </c>
    </row>
    <row r="26" customFormat="false" ht="15" hidden="false" customHeight="false" outlineLevel="0" collapsed="false">
      <c r="A26" s="4" t="s">
        <v>184</v>
      </c>
      <c r="B26" s="4" t="s">
        <v>180</v>
      </c>
      <c r="C26" s="7" t="n">
        <v>93866</v>
      </c>
      <c r="D26" s="7" t="n">
        <v>92300</v>
      </c>
      <c r="E26" s="8" t="n">
        <f aca="false">C26-D26</f>
        <v>1566</v>
      </c>
      <c r="F26" s="4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44"/>
  </cols>
  <sheetData>
    <row r="1" customFormat="false" ht="21.75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9" t="n">
        <v>45296</v>
      </c>
      <c r="D2" s="9" t="n">
        <v>45326</v>
      </c>
      <c r="E2" s="6" t="n">
        <v>1250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</row>
    <row r="3" customFormat="false" ht="15" hidden="false" customHeight="false" outlineLevel="0" collapsed="false">
      <c r="A3" s="4" t="s">
        <v>33</v>
      </c>
      <c r="B3" s="4" t="s">
        <v>43</v>
      </c>
      <c r="C3" s="9" t="n">
        <v>45298</v>
      </c>
      <c r="D3" s="9" t="n">
        <v>45328</v>
      </c>
      <c r="E3" s="6" t="n">
        <v>980.5</v>
      </c>
      <c r="F3" s="4" t="s">
        <v>37</v>
      </c>
      <c r="G3" s="4" t="s">
        <v>38</v>
      </c>
      <c r="H3" s="4" t="s">
        <v>39</v>
      </c>
      <c r="I3" s="4" t="s">
        <v>40</v>
      </c>
      <c r="J3" s="5" t="s">
        <v>185</v>
      </c>
    </row>
    <row r="4" customFormat="false" ht="15" hidden="false" customHeight="false" outlineLevel="0" collapsed="false">
      <c r="A4" s="4" t="s">
        <v>33</v>
      </c>
      <c r="B4" s="4" t="s">
        <v>49</v>
      </c>
      <c r="C4" s="9" t="n">
        <v>45301</v>
      </c>
      <c r="D4" s="9" t="n">
        <v>45331</v>
      </c>
      <c r="E4" s="6" t="n">
        <v>1450</v>
      </c>
      <c r="F4" s="4" t="s">
        <v>37</v>
      </c>
      <c r="G4" s="4" t="s">
        <v>38</v>
      </c>
      <c r="H4" s="4" t="s">
        <v>70</v>
      </c>
      <c r="I4" s="4" t="s">
        <v>53</v>
      </c>
      <c r="J4" s="5" t="s">
        <v>186</v>
      </c>
    </row>
    <row r="5" customFormat="false" ht="15" hidden="false" customHeight="false" outlineLevel="0" collapsed="false">
      <c r="A5" s="4" t="s">
        <v>62</v>
      </c>
      <c r="B5" s="4" t="s">
        <v>56</v>
      </c>
      <c r="C5" s="9" t="n">
        <v>45303</v>
      </c>
      <c r="D5" s="9" t="n">
        <v>45333</v>
      </c>
      <c r="E5" s="6" t="n">
        <v>3300</v>
      </c>
      <c r="F5" s="4" t="s">
        <v>37</v>
      </c>
      <c r="G5" s="4" t="s">
        <v>59</v>
      </c>
      <c r="H5" s="4" t="s">
        <v>39</v>
      </c>
      <c r="I5" s="4" t="s">
        <v>40</v>
      </c>
      <c r="J5" s="5" t="s">
        <v>61</v>
      </c>
    </row>
    <row r="6" customFormat="false" ht="15" hidden="false" customHeight="false" outlineLevel="0" collapsed="false">
      <c r="A6" s="4" t="s">
        <v>66</v>
      </c>
      <c r="B6" s="4" t="s">
        <v>67</v>
      </c>
      <c r="C6" s="9" t="n">
        <v>45309</v>
      </c>
      <c r="D6" s="9" t="n">
        <v>45339</v>
      </c>
      <c r="E6" s="6" t="n">
        <v>212.75</v>
      </c>
      <c r="F6" s="4" t="s">
        <v>37</v>
      </c>
      <c r="G6" s="4" t="s">
        <v>38</v>
      </c>
      <c r="H6" s="4" t="s">
        <v>70</v>
      </c>
      <c r="I6" s="4" t="s">
        <v>53</v>
      </c>
      <c r="J6" s="5" t="s">
        <v>71</v>
      </c>
    </row>
    <row r="7" customFormat="false" ht="15" hidden="false" customHeight="false" outlineLevel="0" collapsed="false">
      <c r="A7" s="4" t="s">
        <v>66</v>
      </c>
      <c r="B7" s="4" t="s">
        <v>73</v>
      </c>
      <c r="C7" s="9" t="n">
        <v>45313</v>
      </c>
      <c r="D7" s="9" t="n">
        <v>45343</v>
      </c>
      <c r="E7" s="6"/>
      <c r="F7" s="4" t="s">
        <v>37</v>
      </c>
      <c r="G7" s="4" t="s">
        <v>38</v>
      </c>
      <c r="H7" s="4" t="s">
        <v>70</v>
      </c>
      <c r="I7" s="4" t="s">
        <v>53</v>
      </c>
      <c r="J7" s="5" t="s">
        <v>187</v>
      </c>
    </row>
    <row r="8" customFormat="false" ht="15" hidden="false" customHeight="false" outlineLevel="0" collapsed="false">
      <c r="A8" s="4" t="s">
        <v>83</v>
      </c>
      <c r="B8" s="4" t="s">
        <v>78</v>
      </c>
      <c r="C8" s="9" t="n">
        <v>45323</v>
      </c>
      <c r="D8" s="9" t="n">
        <v>45353</v>
      </c>
      <c r="E8" s="6" t="n">
        <v>8160.94</v>
      </c>
      <c r="F8" s="4" t="s">
        <v>37</v>
      </c>
      <c r="G8" s="4" t="s">
        <v>81</v>
      </c>
      <c r="H8" s="4" t="s">
        <v>70</v>
      </c>
      <c r="I8" s="4" t="s">
        <v>40</v>
      </c>
      <c r="J8" s="5" t="s">
        <v>82</v>
      </c>
    </row>
    <row r="9" customFormat="false" ht="15" hidden="false" customHeight="false" outlineLevel="0" collapsed="false">
      <c r="A9" s="4" t="s">
        <v>83</v>
      </c>
      <c r="B9" s="4" t="s">
        <v>84</v>
      </c>
      <c r="C9" s="9" t="n">
        <v>45325</v>
      </c>
      <c r="D9" s="9" t="n">
        <v>45355</v>
      </c>
      <c r="E9" s="6" t="n">
        <v>-450</v>
      </c>
      <c r="F9" s="4" t="s">
        <v>37</v>
      </c>
      <c r="G9" s="4" t="s">
        <v>81</v>
      </c>
      <c r="H9" s="4" t="s">
        <v>70</v>
      </c>
      <c r="I9" s="4" t="s">
        <v>40</v>
      </c>
      <c r="J9" s="5" t="s">
        <v>87</v>
      </c>
    </row>
    <row r="10" customFormat="false" ht="15" hidden="false" customHeight="false" outlineLevel="0" collapsed="false">
      <c r="A10" s="4" t="s">
        <v>88</v>
      </c>
      <c r="B10" s="4" t="s">
        <v>89</v>
      </c>
      <c r="C10" s="9" t="n">
        <v>45327</v>
      </c>
      <c r="D10" s="9" t="n">
        <v>45357</v>
      </c>
      <c r="E10" s="6" t="n">
        <v>1725</v>
      </c>
      <c r="F10" s="4" t="s">
        <v>92</v>
      </c>
      <c r="G10" s="4" t="s">
        <v>59</v>
      </c>
      <c r="H10" s="4" t="s">
        <v>70</v>
      </c>
      <c r="I10" s="4" t="s">
        <v>53</v>
      </c>
      <c r="J10" s="5" t="s">
        <v>93</v>
      </c>
    </row>
    <row r="11" customFormat="false" ht="15" hidden="false" customHeight="false" outlineLevel="0" collapsed="false">
      <c r="A11" s="4" t="s">
        <v>99</v>
      </c>
      <c r="B11" s="4" t="s">
        <v>95</v>
      </c>
      <c r="C11" s="9" t="n">
        <v>45331</v>
      </c>
      <c r="D11" s="9" t="n">
        <v>45361</v>
      </c>
      <c r="E11" s="6" t="n">
        <v>640</v>
      </c>
      <c r="F11" s="4" t="s">
        <v>37</v>
      </c>
      <c r="G11" s="4" t="s">
        <v>97</v>
      </c>
      <c r="H11" s="4" t="s">
        <v>70</v>
      </c>
      <c r="I11" s="4" t="s">
        <v>40</v>
      </c>
      <c r="J11" s="5" t="s">
        <v>98</v>
      </c>
    </row>
    <row r="12" customFormat="false" ht="15" hidden="false" customHeight="false" outlineLevel="0" collapsed="false">
      <c r="A12" s="4" t="s">
        <v>99</v>
      </c>
      <c r="B12" s="4" t="s">
        <v>100</v>
      </c>
      <c r="C12" s="9" t="n">
        <v>45334</v>
      </c>
      <c r="D12" s="9" t="n">
        <v>45364</v>
      </c>
      <c r="E12" s="6" t="n">
        <v>640</v>
      </c>
      <c r="F12" s="4" t="s">
        <v>37</v>
      </c>
      <c r="G12" s="4" t="s">
        <v>97</v>
      </c>
      <c r="H12" s="4" t="s">
        <v>70</v>
      </c>
      <c r="I12" s="4" t="s">
        <v>40</v>
      </c>
      <c r="J12" s="5" t="s">
        <v>188</v>
      </c>
    </row>
    <row r="13" customFormat="false" ht="15" hidden="false" customHeight="false" outlineLevel="0" collapsed="false">
      <c r="A13" s="4" t="s">
        <v>105</v>
      </c>
      <c r="B13" s="4" t="s">
        <v>106</v>
      </c>
      <c r="C13" s="9" t="n">
        <v>45337</v>
      </c>
      <c r="D13" s="9" t="n">
        <v>45367</v>
      </c>
      <c r="E13" s="6" t="n">
        <v>12750</v>
      </c>
      <c r="F13" s="4" t="s">
        <v>37</v>
      </c>
      <c r="G13" s="4" t="s">
        <v>81</v>
      </c>
      <c r="H13" s="4" t="s">
        <v>70</v>
      </c>
      <c r="I13" s="4" t="s">
        <v>40</v>
      </c>
      <c r="J13" s="5" t="s">
        <v>109</v>
      </c>
    </row>
    <row r="14" customFormat="false" ht="15" hidden="false" customHeight="false" outlineLevel="0" collapsed="false">
      <c r="A14" s="4" t="s">
        <v>110</v>
      </c>
      <c r="B14" s="4" t="s">
        <v>111</v>
      </c>
      <c r="C14" s="9" t="n">
        <v>45340</v>
      </c>
      <c r="D14" s="9" t="n">
        <v>45370</v>
      </c>
      <c r="E14" s="6" t="n">
        <v>2980.4</v>
      </c>
      <c r="F14" s="4" t="s">
        <v>37</v>
      </c>
      <c r="G14" s="4" t="s">
        <v>81</v>
      </c>
      <c r="H14" s="4" t="s">
        <v>70</v>
      </c>
      <c r="I14" s="4" t="s">
        <v>53</v>
      </c>
      <c r="J14" s="5" t="s">
        <v>114</v>
      </c>
    </row>
    <row r="15" customFormat="false" ht="15" hidden="false" customHeight="false" outlineLevel="0" collapsed="false">
      <c r="A15" s="4" t="s">
        <v>115</v>
      </c>
      <c r="B15" s="4" t="s">
        <v>116</v>
      </c>
      <c r="C15" s="9" t="n">
        <v>45342</v>
      </c>
      <c r="D15" s="9" t="n">
        <v>45372</v>
      </c>
      <c r="E15" s="6" t="n">
        <v>415.6</v>
      </c>
      <c r="F15" s="4" t="s">
        <v>37</v>
      </c>
      <c r="G15" s="4" t="s">
        <v>97</v>
      </c>
      <c r="H15" s="4" t="s">
        <v>70</v>
      </c>
      <c r="I15" s="4" t="s">
        <v>40</v>
      </c>
      <c r="J15" s="5" t="s">
        <v>119</v>
      </c>
    </row>
    <row r="16" customFormat="false" ht="15" hidden="false" customHeight="false" outlineLevel="0" collapsed="false">
      <c r="A16" s="4" t="s">
        <v>33</v>
      </c>
      <c r="B16" s="4" t="s">
        <v>120</v>
      </c>
      <c r="C16" s="9" t="n">
        <v>45344</v>
      </c>
      <c r="D16" s="9" t="n">
        <v>45374</v>
      </c>
      <c r="E16" s="6" t="n">
        <v>1250</v>
      </c>
      <c r="F16" s="4" t="s">
        <v>37</v>
      </c>
      <c r="G16" s="4" t="s">
        <v>38</v>
      </c>
      <c r="H16" s="4" t="s">
        <v>70</v>
      </c>
      <c r="I16" s="4" t="s">
        <v>40</v>
      </c>
      <c r="J16" s="5" t="s">
        <v>124</v>
      </c>
    </row>
    <row r="17" customFormat="false" ht="15" hidden="false" customHeight="false" outlineLevel="0" collapsed="false">
      <c r="A17" s="4" t="s">
        <v>125</v>
      </c>
      <c r="B17" s="4" t="s">
        <v>126</v>
      </c>
      <c r="C17" s="9" t="n">
        <v>45347</v>
      </c>
      <c r="D17" s="9" t="n">
        <v>45377</v>
      </c>
      <c r="E17" s="6" t="n">
        <v>5400</v>
      </c>
      <c r="F17" s="4" t="s">
        <v>37</v>
      </c>
      <c r="G17" s="4" t="s">
        <v>59</v>
      </c>
      <c r="H17" s="4" t="s">
        <v>70</v>
      </c>
      <c r="I17" s="4" t="s">
        <v>53</v>
      </c>
      <c r="J17" s="5" t="s">
        <v>129</v>
      </c>
    </row>
    <row r="19" customFormat="false" ht="23.85" hidden="false" customHeight="true" outlineLevel="0" collapsed="false">
      <c r="A19" s="10" t="s">
        <v>189</v>
      </c>
      <c r="B19" s="10"/>
      <c r="C19" s="10"/>
      <c r="D19" s="10"/>
      <c r="E19" s="10"/>
      <c r="F19" s="10"/>
      <c r="G19" s="10"/>
      <c r="H19" s="10"/>
      <c r="I19" s="10"/>
      <c r="J19" s="10"/>
    </row>
  </sheetData>
  <mergeCells count="1"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18"/>
  </cols>
  <sheetData>
    <row r="1" customFormat="false" ht="21.75" hidden="false" customHeight="true" outlineLevel="0" collapsed="false">
      <c r="A1" s="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3" t="s">
        <v>135</v>
      </c>
      <c r="G1" s="3" t="s">
        <v>136</v>
      </c>
      <c r="H1" s="3" t="s">
        <v>137</v>
      </c>
    </row>
    <row r="2" customFormat="false" ht="35.05" hidden="false" customHeight="false" outlineLevel="0" collapsed="false">
      <c r="A2" s="4" t="s">
        <v>138</v>
      </c>
      <c r="B2" s="4" t="s">
        <v>139</v>
      </c>
      <c r="C2" s="5" t="s">
        <v>140</v>
      </c>
      <c r="D2" s="4" t="s">
        <v>190</v>
      </c>
      <c r="E2" s="4" t="s">
        <v>191</v>
      </c>
      <c r="F2" s="4" t="n">
        <v>182</v>
      </c>
      <c r="G2" s="5" t="s">
        <v>192</v>
      </c>
      <c r="H2" s="4" t="s">
        <v>193</v>
      </c>
    </row>
    <row r="3" customFormat="false" ht="23.85" hidden="false" customHeight="false" outlineLevel="0" collapsed="false">
      <c r="A3" s="4" t="s">
        <v>141</v>
      </c>
      <c r="B3" s="4" t="s">
        <v>142</v>
      </c>
      <c r="C3" s="5" t="s">
        <v>143</v>
      </c>
      <c r="D3" s="4" t="s">
        <v>194</v>
      </c>
      <c r="E3" s="4" t="s">
        <v>195</v>
      </c>
      <c r="F3" s="4" t="n">
        <v>47</v>
      </c>
      <c r="G3" s="5" t="s">
        <v>196</v>
      </c>
      <c r="H3" s="4" t="s">
        <v>193</v>
      </c>
    </row>
    <row r="4" customFormat="false" ht="23.85" hidden="false" customHeight="false" outlineLevel="0" collapsed="false">
      <c r="A4" s="4" t="s">
        <v>144</v>
      </c>
      <c r="B4" s="4" t="s">
        <v>145</v>
      </c>
      <c r="C4" s="5" t="s">
        <v>146</v>
      </c>
      <c r="D4" s="4" t="s">
        <v>197</v>
      </c>
      <c r="E4" s="4" t="s">
        <v>198</v>
      </c>
      <c r="F4" s="4" t="n">
        <v>9600</v>
      </c>
      <c r="G4" s="5" t="s">
        <v>199</v>
      </c>
      <c r="H4" s="4" t="s">
        <v>193</v>
      </c>
    </row>
    <row r="5" customFormat="false" ht="23.85" hidden="false" customHeight="false" outlineLevel="0" collapsed="false">
      <c r="A5" s="4" t="s">
        <v>147</v>
      </c>
      <c r="B5" s="4" t="s">
        <v>148</v>
      </c>
      <c r="C5" s="5" t="s">
        <v>149</v>
      </c>
      <c r="D5" s="4" t="s">
        <v>200</v>
      </c>
      <c r="E5" s="4" t="s">
        <v>201</v>
      </c>
      <c r="F5" s="4" t="n">
        <v>659.96</v>
      </c>
      <c r="G5" s="5" t="s">
        <v>202</v>
      </c>
      <c r="H5" s="4" t="s">
        <v>203</v>
      </c>
    </row>
    <row r="6" customFormat="false" ht="23.85" hidden="false" customHeight="false" outlineLevel="0" collapsed="false">
      <c r="A6" s="4" t="s">
        <v>150</v>
      </c>
      <c r="B6" s="4" t="s">
        <v>139</v>
      </c>
      <c r="C6" s="5" t="s">
        <v>151</v>
      </c>
      <c r="D6" s="4" t="s">
        <v>190</v>
      </c>
      <c r="E6" s="4" t="s">
        <v>204</v>
      </c>
      <c r="F6" s="4" t="n">
        <v>540</v>
      </c>
      <c r="G6" s="5" t="s">
        <v>205</v>
      </c>
      <c r="H6" s="4" t="s">
        <v>193</v>
      </c>
    </row>
    <row r="7" customFormat="false" ht="23.85" hidden="false" customHeight="false" outlineLevel="0" collapsed="false">
      <c r="A7" s="4" t="s">
        <v>152</v>
      </c>
      <c r="B7" s="4" t="s">
        <v>153</v>
      </c>
      <c r="C7" s="5" t="s">
        <v>154</v>
      </c>
      <c r="D7" s="4" t="s">
        <v>206</v>
      </c>
      <c r="E7" s="4" t="s">
        <v>207</v>
      </c>
      <c r="F7" s="4" t="n">
        <v>612</v>
      </c>
      <c r="G7" s="5" t="s">
        <v>208</v>
      </c>
      <c r="H7" s="4" t="s">
        <v>193</v>
      </c>
    </row>
    <row r="8" customFormat="false" ht="23.85" hidden="false" customHeight="false" outlineLevel="0" collapsed="false">
      <c r="A8" s="4" t="s">
        <v>155</v>
      </c>
      <c r="B8" s="4" t="s">
        <v>142</v>
      </c>
      <c r="C8" s="5" t="s">
        <v>156</v>
      </c>
      <c r="D8" s="4" t="s">
        <v>190</v>
      </c>
      <c r="E8" s="4" t="s">
        <v>209</v>
      </c>
      <c r="F8" s="4" t="n">
        <v>88</v>
      </c>
      <c r="G8" s="5" t="s">
        <v>210</v>
      </c>
      <c r="H8" s="4" t="s">
        <v>193</v>
      </c>
    </row>
    <row r="9" customFormat="false" ht="23.85" hidden="false" customHeight="false" outlineLevel="0" collapsed="false">
      <c r="A9" s="4" t="s">
        <v>157</v>
      </c>
      <c r="B9" s="4" t="s">
        <v>148</v>
      </c>
      <c r="C9" s="5" t="s">
        <v>158</v>
      </c>
      <c r="D9" s="4" t="s">
        <v>211</v>
      </c>
      <c r="E9" s="4" t="s">
        <v>212</v>
      </c>
      <c r="F9" s="4" t="n">
        <v>214.5</v>
      </c>
      <c r="G9" s="5" t="s">
        <v>213</v>
      </c>
      <c r="H9" s="4" t="s">
        <v>193</v>
      </c>
    </row>
    <row r="10" customFormat="false" ht="23.85" hidden="false" customHeight="false" outlineLevel="0" collapsed="false">
      <c r="A10" s="4" t="s">
        <v>159</v>
      </c>
      <c r="B10" s="4" t="s">
        <v>145</v>
      </c>
      <c r="C10" s="5" t="s">
        <v>160</v>
      </c>
      <c r="D10" s="4" t="s">
        <v>214</v>
      </c>
      <c r="E10" s="4" t="s">
        <v>215</v>
      </c>
      <c r="F10" s="4" t="n">
        <v>35</v>
      </c>
      <c r="G10" s="5" t="s">
        <v>213</v>
      </c>
      <c r="H10" s="4" t="s">
        <v>193</v>
      </c>
    </row>
    <row r="11" customFormat="false" ht="23.85" hidden="false" customHeight="false" outlineLevel="0" collapsed="false">
      <c r="A11" s="4" t="s">
        <v>161</v>
      </c>
      <c r="B11" s="4" t="s">
        <v>153</v>
      </c>
      <c r="C11" s="5" t="s">
        <v>162</v>
      </c>
      <c r="D11" s="4" t="s">
        <v>197</v>
      </c>
      <c r="E11" s="4" t="s">
        <v>216</v>
      </c>
      <c r="F11" s="4" t="n">
        <v>1999.9</v>
      </c>
      <c r="G11" s="5" t="s">
        <v>217</v>
      </c>
      <c r="H11" s="4" t="s">
        <v>218</v>
      </c>
    </row>
    <row r="12" customFormat="false" ht="23.85" hidden="false" customHeight="false" outlineLevel="0" collapsed="false">
      <c r="A12" s="4" t="s">
        <v>163</v>
      </c>
      <c r="B12" s="4" t="s">
        <v>139</v>
      </c>
      <c r="C12" s="5" t="s">
        <v>164</v>
      </c>
      <c r="D12" s="4" t="s">
        <v>219</v>
      </c>
      <c r="E12" s="4" t="s">
        <v>220</v>
      </c>
      <c r="F12" s="4" t="n">
        <v>500</v>
      </c>
      <c r="G12" s="5" t="s">
        <v>221</v>
      </c>
      <c r="H12" s="4" t="s">
        <v>193</v>
      </c>
    </row>
    <row r="13" customFormat="false" ht="23.85" hidden="false" customHeight="false" outlineLevel="0" collapsed="false">
      <c r="A13" s="4" t="s">
        <v>165</v>
      </c>
      <c r="B13" s="4" t="s">
        <v>142</v>
      </c>
      <c r="C13" s="5" t="s">
        <v>166</v>
      </c>
      <c r="D13" s="4" t="s">
        <v>197</v>
      </c>
      <c r="E13" s="4" t="s">
        <v>222</v>
      </c>
      <c r="F13" s="4" t="n">
        <v>29</v>
      </c>
      <c r="G13" s="5" t="s">
        <v>223</v>
      </c>
      <c r="H13" s="4" t="s">
        <v>218</v>
      </c>
    </row>
    <row r="14" customFormat="false" ht="23.85" hidden="false" customHeight="false" outlineLevel="0" collapsed="false">
      <c r="A14" s="4" t="s">
        <v>167</v>
      </c>
      <c r="B14" s="4" t="s">
        <v>148</v>
      </c>
      <c r="C14" s="5" t="s">
        <v>168</v>
      </c>
      <c r="D14" s="4" t="s">
        <v>224</v>
      </c>
      <c r="E14" s="4" t="s">
        <v>225</v>
      </c>
      <c r="F14" s="4" t="s">
        <v>226</v>
      </c>
      <c r="G14" s="5" t="s">
        <v>227</v>
      </c>
      <c r="H14" s="4" t="s">
        <v>193</v>
      </c>
    </row>
    <row r="15" customFormat="false" ht="23.85" hidden="false" customHeight="false" outlineLevel="0" collapsed="false">
      <c r="A15" s="4" t="s">
        <v>169</v>
      </c>
      <c r="B15" s="4" t="s">
        <v>145</v>
      </c>
      <c r="C15" s="5" t="s">
        <v>170</v>
      </c>
      <c r="D15" s="4" t="s">
        <v>228</v>
      </c>
      <c r="E15" s="4" t="s">
        <v>229</v>
      </c>
      <c r="F15" s="4" t="n">
        <v>58</v>
      </c>
      <c r="G15" s="5" t="s">
        <v>213</v>
      </c>
      <c r="H15" s="4" t="s">
        <v>193</v>
      </c>
    </row>
    <row r="16" customFormat="false" ht="23.85" hidden="false" customHeight="false" outlineLevel="0" collapsed="false">
      <c r="A16" s="4" t="s">
        <v>171</v>
      </c>
      <c r="B16" s="4" t="s">
        <v>153</v>
      </c>
      <c r="C16" s="5" t="s">
        <v>172</v>
      </c>
      <c r="D16" s="4" t="s">
        <v>190</v>
      </c>
      <c r="E16" s="4" t="s">
        <v>230</v>
      </c>
      <c r="F16" s="4" t="n">
        <v>300</v>
      </c>
      <c r="G16" s="5" t="s">
        <v>231</v>
      </c>
      <c r="H16" s="4" t="s">
        <v>193</v>
      </c>
    </row>
    <row r="18" customFormat="false" ht="15" hidden="false" customHeight="true" outlineLevel="0" collapsed="false">
      <c r="A18" s="10" t="s">
        <v>232</v>
      </c>
      <c r="B18" s="10"/>
      <c r="C18" s="10"/>
      <c r="D18" s="10"/>
      <c r="E18" s="10"/>
      <c r="F18" s="10"/>
      <c r="G18" s="10"/>
      <c r="H18" s="10"/>
    </row>
  </sheetData>
  <mergeCells count="1"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233</v>
      </c>
    </row>
    <row r="3" customFormat="false" ht="21.75" hidden="false" customHeight="true" outlineLevel="0" collapsed="false">
      <c r="A3" s="3" t="s">
        <v>234</v>
      </c>
      <c r="B3" s="3" t="s">
        <v>235</v>
      </c>
      <c r="C3" s="3" t="s">
        <v>236</v>
      </c>
    </row>
    <row r="4" customFormat="false" ht="35.05" hidden="false" customHeight="false" outlineLevel="0" collapsed="false">
      <c r="A4" s="4" t="s">
        <v>133</v>
      </c>
      <c r="B4" s="5" t="s">
        <v>237</v>
      </c>
      <c r="C4" s="5" t="s">
        <v>238</v>
      </c>
    </row>
    <row r="5" customFormat="false" ht="15" hidden="false" customHeight="false" outlineLevel="0" collapsed="false">
      <c r="A5" s="4" t="s">
        <v>134</v>
      </c>
      <c r="B5" s="5" t="s">
        <v>239</v>
      </c>
      <c r="C5" s="5" t="s">
        <v>240</v>
      </c>
    </row>
    <row r="6" customFormat="false" ht="23.85" hidden="false" customHeight="false" outlineLevel="0" collapsed="false">
      <c r="A6" s="4" t="s">
        <v>135</v>
      </c>
      <c r="B6" s="5" t="s">
        <v>241</v>
      </c>
      <c r="C6" s="5" t="s">
        <v>242</v>
      </c>
    </row>
    <row r="7" customFormat="false" ht="35.05" hidden="false" customHeight="false" outlineLevel="0" collapsed="false">
      <c r="A7" s="4" t="s">
        <v>136</v>
      </c>
      <c r="B7" s="5" t="s">
        <v>243</v>
      </c>
      <c r="C7" s="5" t="s">
        <v>244</v>
      </c>
    </row>
    <row r="8" customFormat="false" ht="15" hidden="false" customHeight="false" outlineLevel="0" collapsed="false">
      <c r="A8" s="4" t="s">
        <v>137</v>
      </c>
      <c r="B8" s="5" t="s">
        <v>245</v>
      </c>
      <c r="C8" s="5" t="s">
        <v>246</v>
      </c>
    </row>
    <row r="9" customFormat="false" ht="15" hidden="false" customHeight="false" outlineLevel="0" collapsed="false">
      <c r="A9" s="4" t="s">
        <v>247</v>
      </c>
      <c r="B9" s="5" t="s">
        <v>248</v>
      </c>
      <c r="C9" s="5" t="s">
        <v>249</v>
      </c>
    </row>
    <row r="11" customFormat="false" ht="15" hidden="false" customHeight="false" outlineLevel="0" collapsed="false">
      <c r="A11" s="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2026-07-14T13:22:15Z</dcterms:created>
  <dc:creator>openpyxl</dc:creator>
  <dc:description/>
  <dc:language>en-US</dc:language>
  <cp:lastModifiedBy/>
  <dcterms:modified xsi:type="dcterms:W3CDTF">2026-07-14T13:22:15Z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